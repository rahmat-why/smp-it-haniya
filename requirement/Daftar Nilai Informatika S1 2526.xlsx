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-DATA\Data Galuh\SMP IT Haniya\TIK\2526\"/>
    </mc:Choice>
  </mc:AlternateContent>
  <xr:revisionPtr revIDLastSave="0" documentId="13_ncr:1_{2D26F97F-73F6-479D-B6E4-6240E5274C8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II A" sheetId="50" r:id="rId1"/>
    <sheet name="VII B" sheetId="51" r:id="rId2"/>
    <sheet name="VIII A" sheetId="48" r:id="rId3"/>
    <sheet name="VIII B" sheetId="49" r:id="rId4"/>
    <sheet name="IX A" sheetId="38" r:id="rId5"/>
    <sheet name="IX B" sheetId="39" r:id="rId6"/>
  </sheets>
  <definedNames>
    <definedName name="_xlnm.Print_Area" localSheetId="4">'IX A'!$A$1:$AO$53</definedName>
    <definedName name="_xlnm.Print_Area" localSheetId="5">'IX B'!$A$1:$AO$54</definedName>
    <definedName name="_xlnm.Print_Area" localSheetId="0">'VII A'!$A$1:$AO$53</definedName>
    <definedName name="_xlnm.Print_Area" localSheetId="1">'VII B'!$A$1:$AO$53</definedName>
    <definedName name="_xlnm.Print_Area" localSheetId="2">'VIII A'!$A$1:$AO$54</definedName>
    <definedName name="_xlnm.Print_Area" localSheetId="3">'VIII B'!$A$1:$AO$55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3" i="39" l="1"/>
  <c r="U43" i="39"/>
  <c r="AO43" i="39" s="1"/>
  <c r="AK42" i="39"/>
  <c r="U42" i="39"/>
  <c r="AO42" i="39" s="1"/>
  <c r="AO41" i="39"/>
  <c r="AK41" i="39"/>
  <c r="U41" i="39"/>
  <c r="AK40" i="39"/>
  <c r="U40" i="39"/>
  <c r="AK39" i="39"/>
  <c r="U39" i="39"/>
  <c r="AO39" i="39" s="1"/>
  <c r="AK38" i="39"/>
  <c r="U38" i="39"/>
  <c r="AO38" i="39" s="1"/>
  <c r="AK37" i="39"/>
  <c r="U37" i="39"/>
  <c r="AO37" i="39" s="1"/>
  <c r="AK36" i="39"/>
  <c r="AO36" i="39" s="1"/>
  <c r="U36" i="39"/>
  <c r="AK35" i="39"/>
  <c r="U35" i="39"/>
  <c r="AO35" i="39" s="1"/>
  <c r="AK34" i="39"/>
  <c r="U34" i="39"/>
  <c r="AO34" i="39" s="1"/>
  <c r="AK33" i="39"/>
  <c r="U33" i="39"/>
  <c r="AO33" i="39" s="1"/>
  <c r="AK32" i="39"/>
  <c r="U32" i="39"/>
  <c r="AK31" i="39"/>
  <c r="U31" i="39"/>
  <c r="AO31" i="39" s="1"/>
  <c r="AK30" i="39"/>
  <c r="U30" i="39"/>
  <c r="AO30" i="39" s="1"/>
  <c r="AO29" i="39"/>
  <c r="AK29" i="39"/>
  <c r="U29" i="39"/>
  <c r="AK28" i="39"/>
  <c r="U28" i="39"/>
  <c r="AK27" i="39"/>
  <c r="U27" i="39"/>
  <c r="AO27" i="39" s="1"/>
  <c r="AK26" i="39"/>
  <c r="U26" i="39"/>
  <c r="AO26" i="39" s="1"/>
  <c r="AK25" i="39"/>
  <c r="U25" i="39"/>
  <c r="AO25" i="39" s="1"/>
  <c r="AK24" i="39"/>
  <c r="U24" i="39"/>
  <c r="AK23" i="39"/>
  <c r="U23" i="39"/>
  <c r="AO23" i="39" s="1"/>
  <c r="AK22" i="39"/>
  <c r="U22" i="39"/>
  <c r="AO22" i="39" s="1"/>
  <c r="AK21" i="39"/>
  <c r="U21" i="39"/>
  <c r="AO21" i="39" s="1"/>
  <c r="AK20" i="39"/>
  <c r="AO20" i="39" s="1"/>
  <c r="U20" i="39"/>
  <c r="AK19" i="39"/>
  <c r="U19" i="39"/>
  <c r="AK18" i="39"/>
  <c r="U18" i="39"/>
  <c r="AO18" i="39" s="1"/>
  <c r="AK17" i="39"/>
  <c r="U17" i="39"/>
  <c r="AK16" i="39"/>
  <c r="U16" i="39"/>
  <c r="AK15" i="39"/>
  <c r="U15" i="39"/>
  <c r="AO15" i="39" s="1"/>
  <c r="AK14" i="39"/>
  <c r="U14" i="39"/>
  <c r="AO14" i="39" s="1"/>
  <c r="AK13" i="39"/>
  <c r="U13" i="39"/>
  <c r="AO13" i="39" s="1"/>
  <c r="AK12" i="39"/>
  <c r="U12" i="39"/>
  <c r="AK13" i="38"/>
  <c r="AK14" i="38"/>
  <c r="AK15" i="38"/>
  <c r="AK16" i="38"/>
  <c r="AK17" i="38"/>
  <c r="AK18" i="38"/>
  <c r="AK19" i="38"/>
  <c r="AK20" i="38"/>
  <c r="AK21" i="38"/>
  <c r="AK22" i="38"/>
  <c r="AK23" i="38"/>
  <c r="AK24" i="38"/>
  <c r="AK25" i="38"/>
  <c r="AK26" i="38"/>
  <c r="AK27" i="38"/>
  <c r="AK28" i="38"/>
  <c r="AK29" i="38"/>
  <c r="AK30" i="38"/>
  <c r="AK31" i="38"/>
  <c r="AK32" i="38"/>
  <c r="AK33" i="38"/>
  <c r="AK34" i="38"/>
  <c r="AK35" i="38"/>
  <c r="AK36" i="38"/>
  <c r="AK37" i="38"/>
  <c r="AK38" i="38"/>
  <c r="AK39" i="38"/>
  <c r="AK40" i="38"/>
  <c r="AK41" i="38"/>
  <c r="AK42" i="38"/>
  <c r="AK43" i="38"/>
  <c r="AK44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U39" i="38"/>
  <c r="U40" i="38"/>
  <c r="U41" i="38"/>
  <c r="U42" i="38"/>
  <c r="U43" i="38"/>
  <c r="U44" i="38"/>
  <c r="AK12" i="38"/>
  <c r="U12" i="38"/>
  <c r="AO40" i="39" l="1"/>
  <c r="AO32" i="39"/>
  <c r="AO24" i="39"/>
  <c r="AO17" i="39"/>
  <c r="AO12" i="39"/>
  <c r="AO28" i="39"/>
  <c r="AO16" i="39"/>
  <c r="AO16" i="38"/>
  <c r="AO14" i="38"/>
  <c r="AO19" i="39"/>
  <c r="AO44" i="38"/>
  <c r="AO35" i="38"/>
  <c r="AO19" i="38"/>
  <c r="AO42" i="38"/>
  <c r="AO34" i="38"/>
  <c r="AO26" i="38"/>
  <c r="AO18" i="38"/>
  <c r="AO36" i="38"/>
  <c r="AO43" i="38"/>
  <c r="AO27" i="38"/>
  <c r="AO41" i="38"/>
  <c r="AO33" i="38"/>
  <c r="AO25" i="38"/>
  <c r="AO17" i="38"/>
  <c r="AO20" i="38"/>
  <c r="AO40" i="38"/>
  <c r="AO32" i="38"/>
  <c r="AO24" i="38"/>
  <c r="AO39" i="38"/>
  <c r="AO31" i="38"/>
  <c r="AO23" i="38"/>
  <c r="AO15" i="38"/>
  <c r="AO28" i="38"/>
  <c r="AO38" i="38"/>
  <c r="AO30" i="38"/>
  <c r="AO22" i="38"/>
  <c r="AO37" i="38"/>
  <c r="AO29" i="38"/>
  <c r="AO21" i="38"/>
  <c r="AO13" i="38"/>
  <c r="AO12" i="38"/>
</calcChain>
</file>

<file path=xl/sharedStrings.xml><?xml version="1.0" encoding="utf-8"?>
<sst xmlns="http://schemas.openxmlformats.org/spreadsheetml/2006/main" count="1095" uniqueCount="483">
  <si>
    <t>KELAS / SEMESTER</t>
  </si>
  <si>
    <t>MATA PELAJARAN</t>
  </si>
  <si>
    <t>NO</t>
  </si>
  <si>
    <t>NAMA SISWA</t>
  </si>
  <si>
    <t>Mengetahui,</t>
  </si>
  <si>
    <t>DAFTAR NILAI  SISWA</t>
  </si>
  <si>
    <t>SMP IT HANIYA</t>
  </si>
  <si>
    <t>Kepala SMP IT Haniya</t>
  </si>
  <si>
    <t>Cholil Saputra, S.Pd.I</t>
  </si>
  <si>
    <t xml:space="preserve">: VII (Tujuh) A  / </t>
  </si>
  <si>
    <t>Bekasi, ............................ 20...</t>
  </si>
  <si>
    <t>Guru Mata Pelajaran ...............</t>
  </si>
  <si>
    <t>________________________</t>
  </si>
  <si>
    <t>NIS</t>
  </si>
  <si>
    <t>NISN</t>
  </si>
  <si>
    <t>L/P</t>
  </si>
  <si>
    <t>P</t>
  </si>
  <si>
    <t>L</t>
  </si>
  <si>
    <t>DAFTAR NILAI ASESMEN FORMATIF</t>
  </si>
  <si>
    <t>TP 1</t>
  </si>
  <si>
    <t>TP 2</t>
  </si>
  <si>
    <t>TP 3</t>
  </si>
  <si>
    <t>TP 4</t>
  </si>
  <si>
    <t>TP 5</t>
  </si>
  <si>
    <t>TP 6</t>
  </si>
  <si>
    <t>TP 7</t>
  </si>
  <si>
    <t>TP 8</t>
  </si>
  <si>
    <t>TP 9</t>
  </si>
  <si>
    <t>TP 10</t>
  </si>
  <si>
    <t>TP 11</t>
  </si>
  <si>
    <t>TP 12</t>
  </si>
  <si>
    <t>TP 13</t>
  </si>
  <si>
    <t>TP 14</t>
  </si>
  <si>
    <t>TP 15</t>
  </si>
  <si>
    <t>RERATA</t>
  </si>
  <si>
    <t>ASESMEN</t>
  </si>
  <si>
    <t>FORMATIF</t>
  </si>
  <si>
    <t>SUMATIF</t>
  </si>
  <si>
    <t>TENGAH</t>
  </si>
  <si>
    <t>SMT</t>
  </si>
  <si>
    <t>NILAI RAPOR</t>
  </si>
  <si>
    <t>AKHIR</t>
  </si>
  <si>
    <t>DAFTAR NILAI TUGAS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</si>
  <si>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</si>
  <si>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</si>
  <si>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</si>
  <si>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</si>
  <si>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</si>
  <si>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</si>
  <si>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</si>
  <si>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</si>
  <si>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</si>
  <si>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</si>
  <si>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</si>
  <si>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</si>
  <si>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</si>
  <si>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</si>
  <si>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</si>
  <si>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TUGAS</t>
  </si>
  <si>
    <t>NILAI</t>
  </si>
  <si>
    <t>SIKAP</t>
  </si>
  <si>
    <t>SISWA</t>
  </si>
  <si>
    <t xml:space="preserve">: VIII (Delapan) A  / </t>
  </si>
  <si>
    <t xml:space="preserve">: VIII (Delapan) B  / </t>
  </si>
  <si>
    <t>: …..................................</t>
  </si>
  <si>
    <t>Persentase (%) nilai yaitu UH 15%, Tugas 15%, PTS 15%, PSAS/PSAT 35%, SIKAP 20%</t>
  </si>
  <si>
    <t>2324.07.001</t>
  </si>
  <si>
    <t>Adzra Al Azizi Setiawan</t>
  </si>
  <si>
    <t>2324.07.002</t>
  </si>
  <si>
    <t>Alvino Langit Ramadhan Sebastian</t>
  </si>
  <si>
    <t>2324.07.007</t>
  </si>
  <si>
    <t>Candra Mahardika</t>
  </si>
  <si>
    <t>2324.07.010</t>
  </si>
  <si>
    <t>Fadil Ar-Rasyid</t>
  </si>
  <si>
    <t>2324.07.011</t>
  </si>
  <si>
    <t>Fahmi Asshidiq</t>
  </si>
  <si>
    <t>2324.07.012</t>
  </si>
  <si>
    <t>Fajri Ilham Setiawan</t>
  </si>
  <si>
    <t>2324.07.013</t>
  </si>
  <si>
    <t>Fatkhul Muiz</t>
  </si>
  <si>
    <t>2324.07.014</t>
  </si>
  <si>
    <t>Fawwaz Nur Fatihul Ihsan</t>
  </si>
  <si>
    <t>2324.07.015</t>
  </si>
  <si>
    <t>Hafiszuddin Saputra</t>
  </si>
  <si>
    <t>2324.07.019</t>
  </si>
  <si>
    <t>Jakfar Bilal Al-Ghazali</t>
  </si>
  <si>
    <t>2324.07.021</t>
  </si>
  <si>
    <t>Kayana Gian Ahnaf</t>
  </si>
  <si>
    <t>2324.07.024</t>
  </si>
  <si>
    <t>Khabbab Mumthaz Fadhlurrahman</t>
  </si>
  <si>
    <t>2324.07.031</t>
  </si>
  <si>
    <t>M. Akhyar Ibad</t>
  </si>
  <si>
    <t>2324.07.032</t>
  </si>
  <si>
    <t>M. Iqbal El - Mahdie</t>
  </si>
  <si>
    <t>2324.07.034</t>
  </si>
  <si>
    <t>Muamar Khadafi</t>
  </si>
  <si>
    <t>2324.07.035</t>
  </si>
  <si>
    <t>Muhammad Anas Marzuqi</t>
  </si>
  <si>
    <t>2324.07.036</t>
  </si>
  <si>
    <t>Muhammad Faqih Wahyudi</t>
  </si>
  <si>
    <t>2324.07.037</t>
  </si>
  <si>
    <t>Muhammad Fikran Qays</t>
  </si>
  <si>
    <t>2324.07.038</t>
  </si>
  <si>
    <t>Muhammad Nehan Aysel</t>
  </si>
  <si>
    <t>2324.07.039</t>
  </si>
  <si>
    <t>Muhammad Rif'a Alkamal</t>
  </si>
  <si>
    <t>2324.07.040</t>
  </si>
  <si>
    <t>Muhammad Sultan Arrafi Hidayat</t>
  </si>
  <si>
    <t>2324.07.041</t>
  </si>
  <si>
    <t>Nabil Zia Taufiansyah</t>
  </si>
  <si>
    <t>2324.07.043</t>
  </si>
  <si>
    <t>Naufal Reza Pratama</t>
  </si>
  <si>
    <t>2324.07.047</t>
  </si>
  <si>
    <t>Raihan Zaki Akmal</t>
  </si>
  <si>
    <t>2324.07.048</t>
  </si>
  <si>
    <t>Rizky Febrian Nur Hidayat</t>
  </si>
  <si>
    <t>2324.07.049</t>
  </si>
  <si>
    <t>Rizky Nawwal Fauzan</t>
  </si>
  <si>
    <t>2324.07.050</t>
  </si>
  <si>
    <t>Rizky Wahyu Arifin</t>
  </si>
  <si>
    <t>2324.07.051</t>
  </si>
  <si>
    <t>Rubby Slamet Rozani</t>
  </si>
  <si>
    <t>2324.07.059</t>
  </si>
  <si>
    <t>Tristan El-Ghan</t>
  </si>
  <si>
    <t>2324.07.060</t>
  </si>
  <si>
    <t>Ukasyah</t>
  </si>
  <si>
    <t>2324.07.061</t>
  </si>
  <si>
    <t>Vebrand Archeo Putra Nasution</t>
  </si>
  <si>
    <t>2324.07.064</t>
  </si>
  <si>
    <t>Zidane Ali Ghafar</t>
  </si>
  <si>
    <t>2324.07.003</t>
  </si>
  <si>
    <t>Amanda Chintiya Puteri</t>
  </si>
  <si>
    <t>2324.07.004</t>
  </si>
  <si>
    <t>Aqila Syifa Kirani</t>
  </si>
  <si>
    <t>2324.07.005</t>
  </si>
  <si>
    <t>Arnetha Putri Hendrianto</t>
  </si>
  <si>
    <t>2324.07.006</t>
  </si>
  <si>
    <t>Atia Putri Faqihah</t>
  </si>
  <si>
    <t>2324.07.008</t>
  </si>
  <si>
    <t>Carnelianifa Aleeza Ziandra</t>
  </si>
  <si>
    <t>2324.07.009</t>
  </si>
  <si>
    <t>Dinda Ayunisya</t>
  </si>
  <si>
    <t>2324.07.016</t>
  </si>
  <si>
    <t xml:space="preserve">Hana Kayla </t>
  </si>
  <si>
    <t>2324.07.017</t>
  </si>
  <si>
    <t>Harumi Candi R</t>
  </si>
  <si>
    <t>2324.07.018</t>
  </si>
  <si>
    <t xml:space="preserve">Husnul Khotimah </t>
  </si>
  <si>
    <t>2324.07.020</t>
  </si>
  <si>
    <t>Kamilah Putri Malihah</t>
  </si>
  <si>
    <t>2324.07.022</t>
  </si>
  <si>
    <t>2324.07.023</t>
  </si>
  <si>
    <t>Keyla Ardha Permata</t>
  </si>
  <si>
    <t>2324.07.025</t>
  </si>
  <si>
    <t>Khairunnisa Kirana Diinasyah Wirawan</t>
  </si>
  <si>
    <t>2324.07.026</t>
  </si>
  <si>
    <t>Khansa Nabila Ramadhani</t>
  </si>
  <si>
    <t>2324.07.027</t>
  </si>
  <si>
    <t>Khanza Febriana Setiawan</t>
  </si>
  <si>
    <t>2324.07.028</t>
  </si>
  <si>
    <t>Khanzalia Rianti Abdullah</t>
  </si>
  <si>
    <t>2324.07.029</t>
  </si>
  <si>
    <t>Kiara Zhafira Azzahra</t>
  </si>
  <si>
    <t>2324.07.030</t>
  </si>
  <si>
    <t>Liya Zafirah Hasibuan</t>
  </si>
  <si>
    <t>2324.07.033</t>
  </si>
  <si>
    <t>Mosyolla Azzahira</t>
  </si>
  <si>
    <t>2324.07.042</t>
  </si>
  <si>
    <t>Nasywa Zakiyah</t>
  </si>
  <si>
    <t>2324.07.044</t>
  </si>
  <si>
    <t>Nayla Azalia Delisa</t>
  </si>
  <si>
    <t>2324.07.045</t>
  </si>
  <si>
    <t>Nikesha Dzakiyah Rafifah</t>
  </si>
  <si>
    <t>2324.07.046</t>
  </si>
  <si>
    <t>Qurani Nurizki</t>
  </si>
  <si>
    <t>2324.07.053</t>
  </si>
  <si>
    <t>Shafana Felisha Putri</t>
  </si>
  <si>
    <t>2324.07.054</t>
  </si>
  <si>
    <t>Shalsabila Julianti</t>
  </si>
  <si>
    <t>2324.07.055</t>
  </si>
  <si>
    <t>Siggy Floritza Arfani</t>
  </si>
  <si>
    <t>2324.07.056</t>
  </si>
  <si>
    <t>Silvy Rahma Apriliyanti</t>
  </si>
  <si>
    <t>2324.07.057</t>
  </si>
  <si>
    <t>Syakira Permata El Ichwan</t>
  </si>
  <si>
    <t>2324.07.058</t>
  </si>
  <si>
    <t>Syifani Azzahra Putri</t>
  </si>
  <si>
    <t>2324.07.062</t>
  </si>
  <si>
    <t>Widya Puspita Dyah Purbaningrum</t>
  </si>
  <si>
    <t>2324.07.063</t>
  </si>
  <si>
    <t>Zaira Syifa Aryo Putri</t>
  </si>
  <si>
    <t xml:space="preserve">: VII (Tujuh) B  / </t>
  </si>
  <si>
    <t>3107176671</t>
  </si>
  <si>
    <t>0111032237</t>
  </si>
  <si>
    <t>0106924340</t>
  </si>
  <si>
    <t>3118519026</t>
  </si>
  <si>
    <t>0104469381</t>
  </si>
  <si>
    <t>0103936627</t>
  </si>
  <si>
    <t>0113317711</t>
  </si>
  <si>
    <t>0108670590</t>
  </si>
  <si>
    <t>3110880696</t>
  </si>
  <si>
    <t>0104679921</t>
  </si>
  <si>
    <t>0118844051</t>
  </si>
  <si>
    <t>0119586524</t>
  </si>
  <si>
    <t>0117920734</t>
  </si>
  <si>
    <t>0115594550</t>
  </si>
  <si>
    <t>0108446968</t>
  </si>
  <si>
    <t>0114325496</t>
  </si>
  <si>
    <t>0117886856</t>
  </si>
  <si>
    <t>0117546050</t>
  </si>
  <si>
    <t>0114823717</t>
  </si>
  <si>
    <t>3107059603</t>
  </si>
  <si>
    <t>0101594715</t>
  </si>
  <si>
    <t>0115730513</t>
  </si>
  <si>
    <t>0115782528</t>
  </si>
  <si>
    <t>3113689668</t>
  </si>
  <si>
    <t>0106166542</t>
  </si>
  <si>
    <t>0108269698</t>
  </si>
  <si>
    <t>0115483661</t>
  </si>
  <si>
    <t>0116940649</t>
  </si>
  <si>
    <t>0107833746</t>
  </si>
  <si>
    <t>0118397580</t>
  </si>
  <si>
    <t>0107357542</t>
  </si>
  <si>
    <t>0113184321</t>
  </si>
  <si>
    <t>0114352496</t>
  </si>
  <si>
    <t>2324.07.065</t>
  </si>
  <si>
    <t>Muhammad Afzal</t>
  </si>
  <si>
    <t>0115592628</t>
  </si>
  <si>
    <t>0114217270</t>
  </si>
  <si>
    <t>3118463201</t>
  </si>
  <si>
    <t>0105397856</t>
  </si>
  <si>
    <t>0109203330</t>
  </si>
  <si>
    <t>0103747673</t>
  </si>
  <si>
    <t>0101121925</t>
  </si>
  <si>
    <t>0108569147</t>
  </si>
  <si>
    <t>0105095352</t>
  </si>
  <si>
    <t>0107313387</t>
  </si>
  <si>
    <t>0104054839</t>
  </si>
  <si>
    <t>3105512237</t>
  </si>
  <si>
    <t>0114951677</t>
  </si>
  <si>
    <t>3105776519</t>
  </si>
  <si>
    <t>0118514551</t>
  </si>
  <si>
    <t>0111383032</t>
  </si>
  <si>
    <t>0109976149</t>
  </si>
  <si>
    <t>3115346077</t>
  </si>
  <si>
    <t>0116382526</t>
  </si>
  <si>
    <t>0115348248</t>
  </si>
  <si>
    <t>0115111687</t>
  </si>
  <si>
    <t>0118933088</t>
  </si>
  <si>
    <t>3116617249</t>
  </si>
  <si>
    <t>3110562252</t>
  </si>
  <si>
    <t>3112905861</t>
  </si>
  <si>
    <t>0106954047</t>
  </si>
  <si>
    <t>0111736036</t>
  </si>
  <si>
    <t>0102651809</t>
  </si>
  <si>
    <t>3115477121</t>
  </si>
  <si>
    <t>0105061420</t>
  </si>
  <si>
    <t>0119253210</t>
  </si>
  <si>
    <t>Kayyisah Najla R</t>
  </si>
  <si>
    <t>Abbas Hafidz</t>
  </si>
  <si>
    <t>Abdullah</t>
  </si>
  <si>
    <t>Abdullah Azzam</t>
  </si>
  <si>
    <t>Adhyastha Raffa Putra Bayhaqi</t>
  </si>
  <si>
    <t>Adlyn Nazurah</t>
  </si>
  <si>
    <t>Arsyad Ash Shidiq</t>
  </si>
  <si>
    <t>Daffa Haidar Aldillah</t>
  </si>
  <si>
    <t>Diaz Raditya Kaydan</t>
  </si>
  <si>
    <t>Fadli Arna Fabiyan</t>
  </si>
  <si>
    <t>Febrian Rizky Maulana</t>
  </si>
  <si>
    <t>Fikri Lukman Priyanto</t>
  </si>
  <si>
    <t>Hadin Daniswara</t>
  </si>
  <si>
    <t>Haidar Arkhan Saputra</t>
  </si>
  <si>
    <t>Husni Mubarok</t>
  </si>
  <si>
    <t>Hylmi Naufal Priyono</t>
  </si>
  <si>
    <t>Kenzie Alvaro Mahardika</t>
  </si>
  <si>
    <t>Muhammad Nizam Affanto</t>
  </si>
  <si>
    <t>Muhammad Alghifari</t>
  </si>
  <si>
    <t>Muhammad Amzar Alfatih</t>
  </si>
  <si>
    <t>Muhammad Fabio Oktora Basli</t>
  </si>
  <si>
    <t>Muhammad Ghani Mumtazam</t>
  </si>
  <si>
    <t>Muhammad Nur Arinal Haq</t>
  </si>
  <si>
    <t>Nadhif Ali Syaakir</t>
  </si>
  <si>
    <t>Naufal Nazhirul Asrofi</t>
  </si>
  <si>
    <t>Saffi Ahmad Kenzie Iswanto</t>
  </si>
  <si>
    <t>Yadicho Azam Alliwa</t>
  </si>
  <si>
    <t>Almira Khanza Khairunnisa</t>
  </si>
  <si>
    <t>Almira Nurazizah Prayogo</t>
  </si>
  <si>
    <t>Aqilah Dzakyatufarah</t>
  </si>
  <si>
    <t>Asha Azkadina</t>
  </si>
  <si>
    <t>Ashya Alika Rubiyansyah</t>
  </si>
  <si>
    <t>Azka Azrina Haura</t>
  </si>
  <si>
    <t>Evrita Sakya Nadhif</t>
  </si>
  <si>
    <t>Fatma Aulia Kamila</t>
  </si>
  <si>
    <t>Gendhis Athaya Ramadhani</t>
  </si>
  <si>
    <t>Haura Filzah Nasyauqi</t>
  </si>
  <si>
    <t>Izzatul Maula</t>
  </si>
  <si>
    <t>Jhaneta Azzahra Aulya Munar</t>
  </si>
  <si>
    <t>Kireyna Febriani Putri Setiaji</t>
  </si>
  <si>
    <t>Malikha Nafisah</t>
  </si>
  <si>
    <t>Meisaroh Purwaningsih</t>
  </si>
  <si>
    <t>Mikayla Ayu Jhaneeta</t>
  </si>
  <si>
    <t>Miza Ulayya</t>
  </si>
  <si>
    <t>Rachmawati Lista Rahayu</t>
  </si>
  <si>
    <t>Salsabilla</t>
  </si>
  <si>
    <t>Salsabilla Putri</t>
  </si>
  <si>
    <t>Syafira Maulidina Rahmi</t>
  </si>
  <si>
    <t>Syifa Aulia Az-Zahra</t>
  </si>
  <si>
    <t>Tasya Diyatul Hikmah</t>
  </si>
  <si>
    <t>Zeta Milla Qoyyima</t>
  </si>
  <si>
    <t>Zulfatul Nasiro Qolbi</t>
  </si>
  <si>
    <t>Azzam Ferris Padli Sangkof</t>
  </si>
  <si>
    <t>Fathir Muhammad Gifhari</t>
  </si>
  <si>
    <t>Muhammad Ziangief Fadeli</t>
  </si>
  <si>
    <t>Fakhri Zhafran Khairy</t>
  </si>
  <si>
    <t>Muhammad Abrizam Arkhan Zaen</t>
  </si>
  <si>
    <t>Dyah Khoirunnisa Ramadhani</t>
  </si>
  <si>
    <t>Salma Zhafirah An-Nafisa</t>
  </si>
  <si>
    <t>Muhammad Ridho Riskiawan</t>
  </si>
  <si>
    <t>2324.07.066</t>
  </si>
  <si>
    <t>Navisa Qinanti Putri</t>
  </si>
  <si>
    <t>Anindya Gisella Putri Wibowo</t>
  </si>
  <si>
    <t>2324.07.052</t>
  </si>
  <si>
    <t>Divani Anggishella Putri</t>
  </si>
  <si>
    <t>Syamila Islamadina Suryawan</t>
  </si>
  <si>
    <t>Muhammad Faqih Mustaqim</t>
  </si>
  <si>
    <t>TAHUN PELAJARAN 2025/2026</t>
  </si>
  <si>
    <t>Abul A'la Al Maududi</t>
  </si>
  <si>
    <t>Adrian Akbar</t>
  </si>
  <si>
    <t>Airlangga Ganendra Probo Siswoyo</t>
  </si>
  <si>
    <t>Almas Muhammad Nizar</t>
  </si>
  <si>
    <t>Arfan Hashif Febriyanto</t>
  </si>
  <si>
    <t>Ariqin Rasyid Pratama</t>
  </si>
  <si>
    <t>Azka Danish Lesmana</t>
  </si>
  <si>
    <t>Azka Faeyza Dharmawan</t>
  </si>
  <si>
    <t>Bima Rahmat Jamali</t>
  </si>
  <si>
    <t>Bizael Ibnu Danisaputra</t>
  </si>
  <si>
    <t>Devan Airlangga Hidayat</t>
  </si>
  <si>
    <t>Fahmi Abdullah Azzam</t>
  </si>
  <si>
    <t>Faiz Alfarizi</t>
  </si>
  <si>
    <t>Firzan Fahri Fahrezi</t>
  </si>
  <si>
    <t>Ghazi Ghaisan Ahsan</t>
  </si>
  <si>
    <t>Habibi Nur Athallah</t>
  </si>
  <si>
    <t>Hamizan Aswaq Taqiudin</t>
  </si>
  <si>
    <t>Muhammad Abiyyu</t>
  </si>
  <si>
    <t>Muhammad Afgan Sanjaya</t>
  </si>
  <si>
    <t>Muhammad Ataya Aysar Rizkillah</t>
  </si>
  <si>
    <t>Muhammad Dero Arifi</t>
  </si>
  <si>
    <t>Muhammad Rafif Arezki</t>
  </si>
  <si>
    <t>Muhammad Rasyd Lutfi Setiawan</t>
  </si>
  <si>
    <t>Muhammad Rayyan Musyaffa</t>
  </si>
  <si>
    <t>Muhammad Yusran Alfachrezy</t>
  </si>
  <si>
    <t>Nahdan Fayza Rabbani</t>
  </si>
  <si>
    <t>Naufal Althaf Saepudin</t>
  </si>
  <si>
    <t>Naufal Fauzan Syarifudin</t>
  </si>
  <si>
    <t>Raffasya Damar Alfalas</t>
  </si>
  <si>
    <t>Raisyauqi Virendra Shafwan Khan</t>
  </si>
  <si>
    <t>Reyno Kusuma Atmaja</t>
  </si>
  <si>
    <t>Ryandra Akmalghani Nararya</t>
  </si>
  <si>
    <t>Zaky Naufal</t>
  </si>
  <si>
    <t>Zidny Ilman Navi</t>
  </si>
  <si>
    <t>2526.07.001</t>
  </si>
  <si>
    <t>2526.07.002</t>
  </si>
  <si>
    <t>2526.07.004</t>
  </si>
  <si>
    <t>2526.07.011</t>
  </si>
  <si>
    <t>2526.07.017</t>
  </si>
  <si>
    <t>2526.07.018</t>
  </si>
  <si>
    <t>2526.07.020</t>
  </si>
  <si>
    <t>2526.07.021</t>
  </si>
  <si>
    <t>2526.07.022</t>
  </si>
  <si>
    <t>2526.07.023</t>
  </si>
  <si>
    <t>2526.07.025</t>
  </si>
  <si>
    <t>2526.07.026</t>
  </si>
  <si>
    <t>2526.07.027</t>
  </si>
  <si>
    <t>2526.07.029</t>
  </si>
  <si>
    <t>2526.07.031</t>
  </si>
  <si>
    <t>2526.07.032</t>
  </si>
  <si>
    <t>2526.07.035</t>
  </si>
  <si>
    <t>2526.07.043</t>
  </si>
  <si>
    <t>2526.07.044</t>
  </si>
  <si>
    <t>2526.07.045</t>
  </si>
  <si>
    <t>2526.07.046</t>
  </si>
  <si>
    <t>2526.07.047</t>
  </si>
  <si>
    <t>2526.07.048</t>
  </si>
  <si>
    <t>2526.07.049</t>
  </si>
  <si>
    <t>2526.07.050</t>
  </si>
  <si>
    <t>2526.07.052</t>
  </si>
  <si>
    <t>2526.07.053</t>
  </si>
  <si>
    <t>2526.07.054</t>
  </si>
  <si>
    <t>2526.07.057</t>
  </si>
  <si>
    <t>2526.07.059</t>
  </si>
  <si>
    <t>2526.07.061</t>
  </si>
  <si>
    <t>2526.07.064</t>
  </si>
  <si>
    <t>2526.07.067</t>
  </si>
  <si>
    <t>2526.07.069</t>
  </si>
  <si>
    <t>2526.07.003</t>
  </si>
  <si>
    <t>2526.07.005</t>
  </si>
  <si>
    <t>2526.07.006</t>
  </si>
  <si>
    <t>2526.07.007</t>
  </si>
  <si>
    <t>2526.07.008</t>
  </si>
  <si>
    <t>2526.07.009</t>
  </si>
  <si>
    <t>2526.07.010</t>
  </si>
  <si>
    <t>2526.07.012</t>
  </si>
  <si>
    <t>2526.07.013</t>
  </si>
  <si>
    <t>2526.07.014</t>
  </si>
  <si>
    <t>2526.07.015</t>
  </si>
  <si>
    <t>2526.07.016</t>
  </si>
  <si>
    <t>2526.07.019</t>
  </si>
  <si>
    <t>2526.07.024</t>
  </si>
  <si>
    <t>2526.07.028</t>
  </si>
  <si>
    <t>2526.07.030</t>
  </si>
  <si>
    <t>2526.07.033</t>
  </si>
  <si>
    <t>2526.07.034</t>
  </si>
  <si>
    <t>2526.07.036</t>
  </si>
  <si>
    <t>2526.07.037</t>
  </si>
  <si>
    <t>2526.07.038</t>
  </si>
  <si>
    <t>2526.07.039</t>
  </si>
  <si>
    <t>2526.07.040</t>
  </si>
  <si>
    <t>2526.07.041</t>
  </si>
  <si>
    <t>2526.07.042</t>
  </si>
  <si>
    <t>2526.07.051</t>
  </si>
  <si>
    <t>2526.07.055</t>
  </si>
  <si>
    <t>2526.07.056</t>
  </si>
  <si>
    <t>2526.07.058</t>
  </si>
  <si>
    <t>2526.07.060</t>
  </si>
  <si>
    <t>2526.07.062</t>
  </si>
  <si>
    <t>2526.07.063</t>
  </si>
  <si>
    <t>2526.07.065</t>
  </si>
  <si>
    <t>2526.07.066</t>
  </si>
  <si>
    <t>2526.07.068</t>
  </si>
  <si>
    <t>Afifah Nurzahra</t>
  </si>
  <si>
    <t>Al Qayla Diverly Widiyanto</t>
  </si>
  <si>
    <t>Alifka Amanah Triyuwono</t>
  </si>
  <si>
    <t>Alisha Putri Hendrianto</t>
  </si>
  <si>
    <t>Alisya Nur Azzahra</t>
  </si>
  <si>
    <t>Aliya Humairah Susanti</t>
  </si>
  <si>
    <t>Aliya Kiran Ghassaniy</t>
  </si>
  <si>
    <t>Almira Hasnaa Fathinah</t>
  </si>
  <si>
    <t>Almira Yumna Aulia</t>
  </si>
  <si>
    <t>Alya Viana Kusumatuti</t>
  </si>
  <si>
    <t>Amira Uzma Eiliya</t>
  </si>
  <si>
    <t>Annisa Fauziah Lestari</t>
  </si>
  <si>
    <t>Athiyah Farah Paroga</t>
  </si>
  <si>
    <t>Cynara Liqar Rizqullah</t>
  </si>
  <si>
    <t>Fildza Nur Qirani</t>
  </si>
  <si>
    <t>Gauza Afra Nafila</t>
  </si>
  <si>
    <t>Hafshoh Al Husna</t>
  </si>
  <si>
    <t>Haizea Prashanti Joyaputri</t>
  </si>
  <si>
    <t>Haura Dina Adindra</t>
  </si>
  <si>
    <t>Humairoo Ariij Herlambang</t>
  </si>
  <si>
    <t>Husna Nadiyah</t>
  </si>
  <si>
    <t>Jasmine Aulia Zahra</t>
  </si>
  <si>
    <t>Khansa Haura Raihana</t>
  </si>
  <si>
    <t>Kharisma Khoirunnisa</t>
  </si>
  <si>
    <t>Kinan Ainun Mahya Hariadi</t>
  </si>
  <si>
    <t>Nabila Qonita Butsaina</t>
  </si>
  <si>
    <t>Naura Ufairah Kurniawan</t>
  </si>
  <si>
    <t>Nazilah Khoirunnisa</t>
  </si>
  <si>
    <t>Raisya Syahrani Putri</t>
  </si>
  <si>
    <t>Ratih Kirana Aqila</t>
  </si>
  <si>
    <t>Rifa Talia</t>
  </si>
  <si>
    <t>Rifny Zahira Rahma Maulana</t>
  </si>
  <si>
    <t>Syavica Destya Sasongko</t>
  </si>
  <si>
    <t>Syavira Diva Radistya</t>
  </si>
  <si>
    <t>Zalfa Lauthfiyyah Qoonitah</t>
  </si>
  <si>
    <t>2526.07.070</t>
  </si>
  <si>
    <t>Kaisan Afsar Christiawan</t>
  </si>
  <si>
    <t>2526.07.071</t>
  </si>
  <si>
    <t>Muhammad Syakhi Abdul Muiz</t>
  </si>
  <si>
    <t>Qolby Nurmaedah</t>
  </si>
  <si>
    <t>Nailah Zhafirah</t>
  </si>
  <si>
    <t>2526.07.072</t>
  </si>
  <si>
    <t>2526.07.073</t>
  </si>
  <si>
    <t>Sefiana Ayatul Husna</t>
  </si>
  <si>
    <t>2526.07.074</t>
  </si>
  <si>
    <t>if</t>
  </si>
  <si>
    <t>rapor</t>
  </si>
  <si>
    <t>button</t>
  </si>
  <si>
    <t>vlookup</t>
  </si>
  <si>
    <t>bobot</t>
  </si>
  <si>
    <t>review</t>
  </si>
  <si>
    <t>: Informatika</t>
  </si>
  <si>
    <t>: IX (Sembilan) A  / I</t>
  </si>
  <si>
    <t>: IX (Sembilan) B  /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</si>
</sst>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Bodoni MT"/>
      <family val="2"/>
    </font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Bodoni MT"/>
      <family val="2"/>
    </font>
    <font>
      <sz val="7"/>
      <color theme="1"/>
      <name val="Times New Roman"/>
      <family val="1"/>
    </font>
    <font>
      <sz val="11"/>
      <color theme="1"/>
      <name val="Bodoni MT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4" fillId="0" borderId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2" applyFont="1" applyAlignment="1">
      <alignment vertical="center"/>
    </xf>
    <xf numFmtId="0" fontId="8" fillId="0" borderId="3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vertical="center"/>
    </xf>
    <xf numFmtId="0" fontId="8" fillId="0" borderId="1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vertical="center"/>
    </xf>
    <xf numFmtId="0" fontId="8" fillId="0" borderId="7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8" fillId="0" borderId="26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164" fontId="8" fillId="0" borderId="12" xfId="2" applyNumberFormat="1" applyFont="1" applyBorder="1" applyAlignment="1">
      <alignment horizontal="center" vertical="center"/>
    </xf>
    <xf numFmtId="164" fontId="8" fillId="0" borderId="7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1" xfId="2" applyFont="1" applyBorder="1" applyAlignment="1">
      <alignment horizontal="center" vertical="center"/>
    </xf>
    <xf numFmtId="0" fontId="11" fillId="0" borderId="32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11" fillId="0" borderId="26" xfId="2" applyFont="1" applyBorder="1" applyAlignment="1">
      <alignment horizontal="left" vertical="center"/>
    </xf>
    <xf numFmtId="0" fontId="11" fillId="0" borderId="25" xfId="2" applyFont="1" applyBorder="1" applyAlignment="1">
      <alignment horizontal="left" vertical="center"/>
    </xf>
    <xf numFmtId="1" fontId="8" fillId="0" borderId="9" xfId="2" applyNumberFormat="1" applyFont="1" applyBorder="1" applyAlignment="1">
      <alignment horizontal="center" vertical="center"/>
    </xf>
    <xf numFmtId="1" fontId="8" fillId="0" borderId="7" xfId="2" applyNumberFormat="1" applyFont="1" applyBorder="1" applyAlignment="1">
      <alignment horizontal="center" vertical="center"/>
    </xf>
    <xf numFmtId="1" fontId="8" fillId="0" borderId="0" xfId="2" applyNumberFormat="1" applyFont="1" applyAlignment="1">
      <alignment vertical="center"/>
    </xf>
    <xf numFmtId="0" fontId="15" fillId="0" borderId="3" xfId="2" applyFont="1" applyBorder="1" applyAlignment="1">
      <alignment vertical="center"/>
    </xf>
    <xf numFmtId="0" fontId="8" fillId="0" borderId="16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37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</cellXfs>
  <cellStyles count="4">
    <cellStyle name="Normal" xfId="0" builtinId="0"/>
    <cellStyle name="Normal 2" xfId="2" xr:uid="{285FB540-696D-4B70-82BF-D7B887364DBB}"/>
    <cellStyle name="Normal 2 2" xfId="3" xr:uid="{4363C42C-31C3-4BFB-B965-71DEAD60598C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B943A-6666-45CD-A497-B8614132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914AB-9F82-4145-B93E-14E177D03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5C9F-A17E-45F4-96BF-9AB24A0B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62F47-5BA8-462A-9CA4-82F8AB93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C9C42-B8DD-415F-A25C-14ED39018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DDBD7-D1CC-4829-9160-A895445D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C08A-5D91-416A-B49D-228EF502C535}">
  <sheetPr>
    <pageSetUpPr fitToPage="1"/>
  </sheetPr>
  <dimension ref="A1:AP54"/>
  <sheetViews>
    <sheetView view="pageBreakPreview" zoomScale="71" zoomScaleNormal="115" zoomScaleSheetLayoutView="115" workbookViewId="0">
      <selection activeCell="J31" sqref="J31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7" style="8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9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64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3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/>
      <c r="C12" s="14" t="s">
        <v>360</v>
      </c>
      <c r="D12" s="15" t="s">
        <v>326</v>
      </c>
      <c r="E12" s="16" t="s">
        <v>17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25">
      <c r="A13" s="17">
        <v>2</v>
      </c>
      <c r="B13" s="9"/>
      <c r="C13" s="9" t="s">
        <v>361</v>
      </c>
      <c r="D13" s="19" t="s">
        <v>327</v>
      </c>
      <c r="E13" s="20" t="s">
        <v>17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25">
      <c r="A14" s="17">
        <v>3</v>
      </c>
      <c r="B14" s="9"/>
      <c r="C14" s="9" t="s">
        <v>362</v>
      </c>
      <c r="D14" s="19" t="s">
        <v>328</v>
      </c>
      <c r="E14" s="20" t="s">
        <v>17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25">
      <c r="A15" s="17">
        <v>4</v>
      </c>
      <c r="B15" s="9"/>
      <c r="C15" s="9" t="s">
        <v>363</v>
      </c>
      <c r="D15" s="19" t="s">
        <v>329</v>
      </c>
      <c r="E15" s="20" t="s">
        <v>17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25">
      <c r="A16" s="17">
        <v>5</v>
      </c>
      <c r="B16" s="9"/>
      <c r="C16" s="9" t="s">
        <v>364</v>
      </c>
      <c r="D16" s="19" t="s">
        <v>330</v>
      </c>
      <c r="E16" s="20" t="s">
        <v>17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25">
      <c r="A17" s="17">
        <v>6</v>
      </c>
      <c r="B17" s="9"/>
      <c r="C17" s="9" t="s">
        <v>365</v>
      </c>
      <c r="D17" s="19" t="s">
        <v>331</v>
      </c>
      <c r="E17" s="20" t="s">
        <v>17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25">
      <c r="A18" s="17">
        <v>7</v>
      </c>
      <c r="B18" s="9"/>
      <c r="C18" s="9" t="s">
        <v>366</v>
      </c>
      <c r="D18" s="19" t="s">
        <v>332</v>
      </c>
      <c r="E18" s="20" t="s">
        <v>17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25">
      <c r="A19" s="17">
        <v>8</v>
      </c>
      <c r="B19" s="9"/>
      <c r="C19" s="9" t="s">
        <v>367</v>
      </c>
      <c r="D19" s="19" t="s">
        <v>333</v>
      </c>
      <c r="E19" s="20" t="s">
        <v>17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25">
      <c r="A20" s="17">
        <v>9</v>
      </c>
      <c r="B20" s="9"/>
      <c r="C20" s="9" t="s">
        <v>368</v>
      </c>
      <c r="D20" s="19" t="s">
        <v>334</v>
      </c>
      <c r="E20" s="20" t="s">
        <v>17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25">
      <c r="A21" s="17">
        <v>10</v>
      </c>
      <c r="B21" s="9"/>
      <c r="C21" s="9" t="s">
        <v>369</v>
      </c>
      <c r="D21" s="19" t="s">
        <v>335</v>
      </c>
      <c r="E21" s="20" t="s">
        <v>17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25">
      <c r="A22" s="17">
        <v>11</v>
      </c>
      <c r="B22" s="9"/>
      <c r="C22" s="9" t="s">
        <v>370</v>
      </c>
      <c r="D22" s="19" t="s">
        <v>336</v>
      </c>
      <c r="E22" s="20" t="s">
        <v>17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25">
      <c r="A23" s="17">
        <v>12</v>
      </c>
      <c r="B23" s="9"/>
      <c r="C23" s="9" t="s">
        <v>371</v>
      </c>
      <c r="D23" s="19" t="s">
        <v>337</v>
      </c>
      <c r="E23" s="20" t="s">
        <v>17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25">
      <c r="A24" s="17">
        <v>13</v>
      </c>
      <c r="B24" s="9"/>
      <c r="C24" s="9" t="s">
        <v>372</v>
      </c>
      <c r="D24" s="19" t="s">
        <v>338</v>
      </c>
      <c r="E24" s="20" t="s">
        <v>17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25">
      <c r="A25" s="17">
        <v>14</v>
      </c>
      <c r="B25" s="9"/>
      <c r="C25" s="9" t="s">
        <v>373</v>
      </c>
      <c r="D25" s="19" t="s">
        <v>339</v>
      </c>
      <c r="E25" s="20" t="s">
        <v>17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</row>
    <row r="26" spans="1:42" ht="13.5" customHeight="1" x14ac:dyDescent="0.25">
      <c r="A26" s="17">
        <v>15</v>
      </c>
      <c r="B26" s="9"/>
      <c r="C26" s="9" t="s">
        <v>374</v>
      </c>
      <c r="D26" s="19" t="s">
        <v>340</v>
      </c>
      <c r="E26" s="20" t="s">
        <v>17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  <c r="AP26" s="47"/>
    </row>
    <row r="27" spans="1:42" ht="13.5" customHeight="1" x14ac:dyDescent="0.25">
      <c r="A27" s="17">
        <v>16</v>
      </c>
      <c r="B27" s="9"/>
      <c r="C27" s="9" t="s">
        <v>375</v>
      </c>
      <c r="D27" s="19" t="s">
        <v>341</v>
      </c>
      <c r="E27" s="20" t="s">
        <v>17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25">
      <c r="A28" s="17">
        <v>17</v>
      </c>
      <c r="B28" s="9"/>
      <c r="C28" s="9" t="s">
        <v>376</v>
      </c>
      <c r="D28" s="19" t="s">
        <v>342</v>
      </c>
      <c r="E28" s="20" t="s">
        <v>17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25">
      <c r="A29" s="17">
        <v>18</v>
      </c>
      <c r="B29" s="9"/>
      <c r="C29" s="9" t="s">
        <v>377</v>
      </c>
      <c r="D29" s="19" t="s">
        <v>343</v>
      </c>
      <c r="E29" s="20" t="s">
        <v>17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25">
      <c r="A30" s="17">
        <v>19</v>
      </c>
      <c r="B30" s="9"/>
      <c r="C30" s="9" t="s">
        <v>378</v>
      </c>
      <c r="D30" s="19" t="s">
        <v>344</v>
      </c>
      <c r="E30" s="20" t="s">
        <v>17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25">
      <c r="A31" s="17">
        <v>20</v>
      </c>
      <c r="B31" s="9"/>
      <c r="C31" s="9" t="s">
        <v>379</v>
      </c>
      <c r="D31" s="19" t="s">
        <v>345</v>
      </c>
      <c r="E31" s="20" t="s">
        <v>17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25">
      <c r="A32" s="17">
        <v>21</v>
      </c>
      <c r="B32" s="9"/>
      <c r="C32" s="9" t="s">
        <v>380</v>
      </c>
      <c r="D32" s="19" t="s">
        <v>346</v>
      </c>
      <c r="E32" s="20" t="s">
        <v>17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25">
      <c r="A33" s="17">
        <v>22</v>
      </c>
      <c r="B33" s="9"/>
      <c r="C33" s="9" t="s">
        <v>381</v>
      </c>
      <c r="D33" s="19" t="s">
        <v>347</v>
      </c>
      <c r="E33" s="20" t="s">
        <v>17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</row>
    <row r="34" spans="1:42" ht="13.5" customHeight="1" x14ac:dyDescent="0.25">
      <c r="A34" s="17">
        <v>23</v>
      </c>
      <c r="B34" s="9"/>
      <c r="C34" s="9" t="s">
        <v>382</v>
      </c>
      <c r="D34" s="27" t="s">
        <v>348</v>
      </c>
      <c r="E34" s="20" t="s">
        <v>17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25">
      <c r="A35" s="17">
        <v>24</v>
      </c>
      <c r="B35" s="9"/>
      <c r="C35" s="9" t="s">
        <v>383</v>
      </c>
      <c r="D35" s="19" t="s">
        <v>349</v>
      </c>
      <c r="E35" s="20" t="s">
        <v>17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25">
      <c r="A36" s="17">
        <v>25</v>
      </c>
      <c r="B36" s="9"/>
      <c r="C36" s="9" t="s">
        <v>384</v>
      </c>
      <c r="D36" s="19" t="s">
        <v>350</v>
      </c>
      <c r="E36" s="20" t="s">
        <v>17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</row>
    <row r="37" spans="1:42" ht="13.5" customHeight="1" x14ac:dyDescent="0.25">
      <c r="A37" s="17">
        <v>26</v>
      </c>
      <c r="B37" s="9"/>
      <c r="C37" s="9" t="s">
        <v>385</v>
      </c>
      <c r="D37" s="19" t="s">
        <v>351</v>
      </c>
      <c r="E37" s="20" t="s">
        <v>17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25">
      <c r="A38" s="17">
        <v>27</v>
      </c>
      <c r="B38" s="9"/>
      <c r="C38" s="9" t="s">
        <v>386</v>
      </c>
      <c r="D38" s="19" t="s">
        <v>352</v>
      </c>
      <c r="E38" s="20" t="s">
        <v>17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25">
      <c r="A39" s="17">
        <v>28</v>
      </c>
      <c r="B39" s="9"/>
      <c r="C39" s="9" t="s">
        <v>387</v>
      </c>
      <c r="D39" s="19" t="s">
        <v>353</v>
      </c>
      <c r="E39" s="20" t="s">
        <v>17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25">
      <c r="A40" s="17">
        <v>29</v>
      </c>
      <c r="B40" s="9"/>
      <c r="C40" s="9" t="s">
        <v>388</v>
      </c>
      <c r="D40" s="19" t="s">
        <v>354</v>
      </c>
      <c r="E40" s="20" t="s">
        <v>17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25">
      <c r="A41" s="17">
        <v>30</v>
      </c>
      <c r="B41" s="9"/>
      <c r="C41" s="9" t="s">
        <v>389</v>
      </c>
      <c r="D41" s="19" t="s">
        <v>355</v>
      </c>
      <c r="E41" s="20" t="s">
        <v>17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25">
      <c r="A42" s="17">
        <v>31</v>
      </c>
      <c r="B42" s="9"/>
      <c r="C42" s="9" t="s">
        <v>390</v>
      </c>
      <c r="D42" s="19" t="s">
        <v>356</v>
      </c>
      <c r="E42" s="20" t="s">
        <v>17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25">
      <c r="A43" s="17">
        <v>32</v>
      </c>
      <c r="B43" s="9"/>
      <c r="C43" s="9" t="s">
        <v>391</v>
      </c>
      <c r="D43" s="19" t="s">
        <v>357</v>
      </c>
      <c r="E43" s="20" t="s">
        <v>17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25">
      <c r="A44" s="18">
        <v>33</v>
      </c>
      <c r="B44" s="36"/>
      <c r="C44" s="9" t="s">
        <v>392</v>
      </c>
      <c r="D44" s="19" t="s">
        <v>358</v>
      </c>
      <c r="E44" s="20" t="s">
        <v>17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4"/>
      <c r="AL44" s="9"/>
      <c r="AM44" s="9"/>
      <c r="AN44" s="41"/>
      <c r="AO44" s="34"/>
    </row>
    <row r="45" spans="1:42" ht="13.5" customHeight="1" x14ac:dyDescent="0.25">
      <c r="A45" s="18">
        <v>34</v>
      </c>
      <c r="B45" s="36"/>
      <c r="C45" s="9" t="s">
        <v>393</v>
      </c>
      <c r="D45" s="19" t="s">
        <v>359</v>
      </c>
      <c r="E45" s="20" t="s">
        <v>17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5.75" thickBot="1" x14ac:dyDescent="0.3">
      <c r="A46" s="22">
        <v>35</v>
      </c>
      <c r="B46" s="37"/>
      <c r="C46" s="23"/>
      <c r="D46" s="24"/>
      <c r="E46" s="25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75" x14ac:dyDescent="0.25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75" x14ac:dyDescent="0.25">
      <c r="A48" s="3"/>
      <c r="C48" s="3" t="s">
        <v>4</v>
      </c>
      <c r="D48" s="3"/>
      <c r="E48" s="5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75" x14ac:dyDescent="0.25">
      <c r="A49" s="3"/>
      <c r="C49" s="3" t="s">
        <v>7</v>
      </c>
      <c r="D49" s="3"/>
      <c r="E49" s="6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75" x14ac:dyDescent="0.25">
      <c r="A50" s="3"/>
      <c r="C50" s="3"/>
      <c r="D50" s="3"/>
      <c r="E50" s="5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75" x14ac:dyDescent="0.25">
      <c r="A51" s="3"/>
      <c r="C51" s="3"/>
      <c r="D51" s="3"/>
      <c r="E51" s="5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75" x14ac:dyDescent="0.25">
      <c r="A52" s="3"/>
      <c r="C52" s="3"/>
      <c r="D52" s="3"/>
      <c r="E52" s="5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75" x14ac:dyDescent="0.25">
      <c r="A53" s="3"/>
      <c r="B53" s="1"/>
      <c r="C53" s="4" t="s">
        <v>8</v>
      </c>
      <c r="D53" s="3"/>
      <c r="E53" s="7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25">
      <c r="A54" s="26"/>
    </row>
  </sheetData>
  <mergeCells count="11">
    <mergeCell ref="AO9:AO11"/>
    <mergeCell ref="A1:AO1"/>
    <mergeCell ref="A2:AO2"/>
    <mergeCell ref="A3:AO3"/>
    <mergeCell ref="A9:A11"/>
    <mergeCell ref="B9:B11"/>
    <mergeCell ref="C9:C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C3DC-0A59-4A46-BC83-6BF998062B2A}">
  <sheetPr>
    <pageSetUpPr fitToPage="1"/>
  </sheetPr>
  <dimension ref="A1:AP54"/>
  <sheetViews>
    <sheetView view="pageBreakPreview" topLeftCell="A33" zoomScale="115" zoomScaleNormal="115" zoomScaleSheetLayoutView="115" workbookViewId="0">
      <selection activeCell="A2" sqref="A2:AO2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5.7109375" style="8" bestFit="1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191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64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3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/>
      <c r="C12" s="14" t="s">
        <v>394</v>
      </c>
      <c r="D12" s="15" t="s">
        <v>429</v>
      </c>
      <c r="E12" s="16" t="s">
        <v>16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25">
      <c r="A13" s="17">
        <v>2</v>
      </c>
      <c r="B13" s="9"/>
      <c r="C13" s="9" t="s">
        <v>395</v>
      </c>
      <c r="D13" s="19" t="s">
        <v>430</v>
      </c>
      <c r="E13" s="16" t="s">
        <v>16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25">
      <c r="A14" s="17">
        <v>3</v>
      </c>
      <c r="B14" s="9"/>
      <c r="C14" s="9" t="s">
        <v>396</v>
      </c>
      <c r="D14" s="19" t="s">
        <v>431</v>
      </c>
      <c r="E14" s="16" t="s">
        <v>16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25">
      <c r="A15" s="17">
        <v>4</v>
      </c>
      <c r="B15" s="9"/>
      <c r="C15" s="9" t="s">
        <v>397</v>
      </c>
      <c r="D15" s="19" t="s">
        <v>432</v>
      </c>
      <c r="E15" s="16" t="s">
        <v>16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25">
      <c r="A16" s="17">
        <v>5</v>
      </c>
      <c r="B16" s="9"/>
      <c r="C16" s="9" t="s">
        <v>398</v>
      </c>
      <c r="D16" s="19" t="s">
        <v>433</v>
      </c>
      <c r="E16" s="16" t="s">
        <v>16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25">
      <c r="A17" s="17">
        <v>6</v>
      </c>
      <c r="B17" s="9"/>
      <c r="C17" s="9" t="s">
        <v>399</v>
      </c>
      <c r="D17" s="19" t="s">
        <v>434</v>
      </c>
      <c r="E17" s="16" t="s">
        <v>16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25">
      <c r="A18" s="17">
        <v>7</v>
      </c>
      <c r="B18" s="9"/>
      <c r="C18" s="9" t="s">
        <v>400</v>
      </c>
      <c r="D18" s="19" t="s">
        <v>435</v>
      </c>
      <c r="E18" s="16" t="s">
        <v>16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25">
      <c r="A19" s="17">
        <v>8</v>
      </c>
      <c r="B19" s="9"/>
      <c r="C19" s="9" t="s">
        <v>401</v>
      </c>
      <c r="D19" s="19" t="s">
        <v>436</v>
      </c>
      <c r="E19" s="16" t="s">
        <v>16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25">
      <c r="A20" s="17">
        <v>9</v>
      </c>
      <c r="B20" s="9"/>
      <c r="C20" s="9" t="s">
        <v>402</v>
      </c>
      <c r="D20" s="19" t="s">
        <v>437</v>
      </c>
      <c r="E20" s="16" t="s">
        <v>16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25">
      <c r="A21" s="17">
        <v>10</v>
      </c>
      <c r="B21" s="9"/>
      <c r="C21" s="9" t="s">
        <v>403</v>
      </c>
      <c r="D21" s="19" t="s">
        <v>438</v>
      </c>
      <c r="E21" s="16" t="s">
        <v>16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25">
      <c r="A22" s="17">
        <v>11</v>
      </c>
      <c r="B22" s="9"/>
      <c r="C22" s="9" t="s">
        <v>404</v>
      </c>
      <c r="D22" s="19" t="s">
        <v>439</v>
      </c>
      <c r="E22" s="16" t="s">
        <v>16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25">
      <c r="A23" s="17">
        <v>12</v>
      </c>
      <c r="B23" s="9"/>
      <c r="C23" s="9" t="s">
        <v>405</v>
      </c>
      <c r="D23" s="19" t="s">
        <v>440</v>
      </c>
      <c r="E23" s="16" t="s">
        <v>16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25">
      <c r="A24" s="17">
        <v>13</v>
      </c>
      <c r="B24" s="9"/>
      <c r="C24" s="9" t="s">
        <v>406</v>
      </c>
      <c r="D24" s="19" t="s">
        <v>441</v>
      </c>
      <c r="E24" s="16" t="s">
        <v>16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25">
      <c r="A25" s="17">
        <v>14</v>
      </c>
      <c r="B25" s="9"/>
      <c r="C25" s="9" t="s">
        <v>407</v>
      </c>
      <c r="D25" s="19" t="s">
        <v>442</v>
      </c>
      <c r="E25" s="16" t="s">
        <v>16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  <c r="AP25" s="47"/>
    </row>
    <row r="26" spans="1:42" ht="13.5" customHeight="1" x14ac:dyDescent="0.25">
      <c r="A26" s="17">
        <v>15</v>
      </c>
      <c r="B26" s="9"/>
      <c r="C26" s="9" t="s">
        <v>408</v>
      </c>
      <c r="D26" s="19" t="s">
        <v>443</v>
      </c>
      <c r="E26" s="16" t="s">
        <v>16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</row>
    <row r="27" spans="1:42" ht="13.5" customHeight="1" x14ac:dyDescent="0.25">
      <c r="A27" s="17">
        <v>16</v>
      </c>
      <c r="B27" s="9"/>
      <c r="C27" s="9" t="s">
        <v>409</v>
      </c>
      <c r="D27" s="19" t="s">
        <v>444</v>
      </c>
      <c r="E27" s="16" t="s">
        <v>16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25">
      <c r="A28" s="17">
        <v>17</v>
      </c>
      <c r="B28" s="9"/>
      <c r="C28" s="9" t="s">
        <v>410</v>
      </c>
      <c r="D28" s="19" t="s">
        <v>445</v>
      </c>
      <c r="E28" s="16" t="s">
        <v>16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25">
      <c r="A29" s="17">
        <v>18</v>
      </c>
      <c r="B29" s="9"/>
      <c r="C29" s="9" t="s">
        <v>411</v>
      </c>
      <c r="D29" s="19" t="s">
        <v>446</v>
      </c>
      <c r="E29" s="16" t="s">
        <v>16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25">
      <c r="A30" s="17">
        <v>19</v>
      </c>
      <c r="B30" s="9"/>
      <c r="C30" s="9" t="s">
        <v>412</v>
      </c>
      <c r="D30" s="19" t="s">
        <v>447</v>
      </c>
      <c r="E30" s="16" t="s">
        <v>16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25">
      <c r="A31" s="17">
        <v>20</v>
      </c>
      <c r="B31" s="9"/>
      <c r="C31" s="9" t="s">
        <v>413</v>
      </c>
      <c r="D31" s="19" t="s">
        <v>448</v>
      </c>
      <c r="E31" s="16" t="s">
        <v>16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25">
      <c r="A32" s="17">
        <v>21</v>
      </c>
      <c r="B32" s="9"/>
      <c r="C32" s="9" t="s">
        <v>414</v>
      </c>
      <c r="D32" s="19" t="s">
        <v>449</v>
      </c>
      <c r="E32" s="16" t="s">
        <v>16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25">
      <c r="A33" s="17">
        <v>22</v>
      </c>
      <c r="B33" s="9"/>
      <c r="C33" s="9" t="s">
        <v>415</v>
      </c>
      <c r="D33" s="19" t="s">
        <v>450</v>
      </c>
      <c r="E33" s="16" t="s">
        <v>16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</row>
    <row r="34" spans="1:42" ht="13.5" customHeight="1" x14ac:dyDescent="0.25">
      <c r="A34" s="17">
        <v>23</v>
      </c>
      <c r="B34" s="9"/>
      <c r="C34" s="9" t="s">
        <v>416</v>
      </c>
      <c r="D34" s="19" t="s">
        <v>451</v>
      </c>
      <c r="E34" s="16" t="s">
        <v>16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25">
      <c r="A35" s="17">
        <v>24</v>
      </c>
      <c r="B35" s="9"/>
      <c r="C35" s="9" t="s">
        <v>417</v>
      </c>
      <c r="D35" s="19" t="s">
        <v>452</v>
      </c>
      <c r="E35" s="16" t="s">
        <v>16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25">
      <c r="A36" s="17">
        <v>25</v>
      </c>
      <c r="B36" s="9"/>
      <c r="C36" s="9" t="s">
        <v>418</v>
      </c>
      <c r="D36" s="19" t="s">
        <v>453</v>
      </c>
      <c r="E36" s="16" t="s">
        <v>16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</row>
    <row r="37" spans="1:42" ht="13.5" customHeight="1" x14ac:dyDescent="0.25">
      <c r="A37" s="17">
        <v>26</v>
      </c>
      <c r="B37" s="9"/>
      <c r="C37" s="9" t="s">
        <v>419</v>
      </c>
      <c r="D37" s="19" t="s">
        <v>454</v>
      </c>
      <c r="E37" s="16" t="s">
        <v>16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25">
      <c r="A38" s="17">
        <v>27</v>
      </c>
      <c r="B38" s="9"/>
      <c r="C38" s="9" t="s">
        <v>420</v>
      </c>
      <c r="D38" s="19" t="s">
        <v>455</v>
      </c>
      <c r="E38" s="16" t="s">
        <v>16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25">
      <c r="A39" s="17">
        <v>28</v>
      </c>
      <c r="B39" s="9"/>
      <c r="C39" s="9" t="s">
        <v>421</v>
      </c>
      <c r="D39" s="19" t="s">
        <v>456</v>
      </c>
      <c r="E39" s="16" t="s">
        <v>16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25">
      <c r="A40" s="17">
        <v>29</v>
      </c>
      <c r="B40" s="9"/>
      <c r="C40" s="9" t="s">
        <v>422</v>
      </c>
      <c r="D40" s="19" t="s">
        <v>457</v>
      </c>
      <c r="E40" s="16" t="s">
        <v>16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25">
      <c r="A41" s="17">
        <v>30</v>
      </c>
      <c r="B41" s="9"/>
      <c r="C41" s="9" t="s">
        <v>423</v>
      </c>
      <c r="D41" s="19" t="s">
        <v>458</v>
      </c>
      <c r="E41" s="16" t="s">
        <v>16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25">
      <c r="A42" s="17">
        <v>31</v>
      </c>
      <c r="B42" s="9"/>
      <c r="C42" s="9" t="s">
        <v>424</v>
      </c>
      <c r="D42" s="19" t="s">
        <v>459</v>
      </c>
      <c r="E42" s="16" t="s">
        <v>16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25">
      <c r="A43" s="17">
        <v>32</v>
      </c>
      <c r="B43" s="9"/>
      <c r="C43" s="9" t="s">
        <v>425</v>
      </c>
      <c r="D43" s="19" t="s">
        <v>460</v>
      </c>
      <c r="E43" s="16" t="s">
        <v>16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25">
      <c r="A44" s="18">
        <v>33</v>
      </c>
      <c r="B44" s="36"/>
      <c r="C44" s="9" t="s">
        <v>426</v>
      </c>
      <c r="D44" s="19" t="s">
        <v>461</v>
      </c>
      <c r="E44" s="20" t="s">
        <v>16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4"/>
      <c r="AL44" s="9"/>
      <c r="AM44" s="9"/>
      <c r="AN44" s="41"/>
      <c r="AO44" s="34"/>
    </row>
    <row r="45" spans="1:42" ht="13.5" customHeight="1" x14ac:dyDescent="0.25">
      <c r="A45" s="18">
        <v>34</v>
      </c>
      <c r="B45" s="36"/>
      <c r="C45" s="9" t="s">
        <v>427</v>
      </c>
      <c r="D45" s="19" t="s">
        <v>462</v>
      </c>
      <c r="E45" s="20" t="s">
        <v>16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5.75" thickBot="1" x14ac:dyDescent="0.3">
      <c r="A46" s="22">
        <v>35</v>
      </c>
      <c r="B46" s="37"/>
      <c r="C46" s="23" t="s">
        <v>428</v>
      </c>
      <c r="D46" s="24" t="s">
        <v>463</v>
      </c>
      <c r="E46" s="25" t="s">
        <v>16</v>
      </c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75" x14ac:dyDescent="0.25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75" x14ac:dyDescent="0.25">
      <c r="A48" s="3"/>
      <c r="C48" s="3" t="s">
        <v>4</v>
      </c>
      <c r="D48" s="3"/>
      <c r="E48" s="3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75" x14ac:dyDescent="0.25">
      <c r="A49" s="3"/>
      <c r="C49" s="3" t="s">
        <v>7</v>
      </c>
      <c r="D49" s="3"/>
      <c r="E49" s="3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75" x14ac:dyDescent="0.25">
      <c r="A50" s="3"/>
      <c r="C50" s="3"/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75" x14ac:dyDescent="0.25">
      <c r="A51" s="3"/>
      <c r="C51" s="3"/>
      <c r="D51" s="3"/>
      <c r="E51" s="3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75" x14ac:dyDescent="0.25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75" x14ac:dyDescent="0.25">
      <c r="A53" s="3"/>
      <c r="B53" s="1"/>
      <c r="C53" s="4" t="s">
        <v>8</v>
      </c>
      <c r="D53" s="3"/>
      <c r="E53" s="3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25">
      <c r="A54" s="26"/>
    </row>
  </sheetData>
  <mergeCells count="11">
    <mergeCell ref="AO9:AO11"/>
    <mergeCell ref="A1:AO1"/>
    <mergeCell ref="A2:AO2"/>
    <mergeCell ref="A3:AO3"/>
    <mergeCell ref="A9:A11"/>
    <mergeCell ref="B9:B11"/>
    <mergeCell ref="C9:C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710E-075A-4E4B-AD49-ED62A642AAAB}">
  <sheetPr>
    <pageSetUpPr fitToPage="1"/>
  </sheetPr>
  <dimension ref="A1:AP55"/>
  <sheetViews>
    <sheetView view="pageBreakPreview" zoomScaleNormal="115" zoomScaleSheetLayoutView="100" workbookViewId="0">
      <selection activeCell="B41" sqref="B41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7" style="8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62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64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3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/>
      <c r="C12" s="14" t="s">
        <v>66</v>
      </c>
      <c r="D12" s="15" t="s">
        <v>259</v>
      </c>
      <c r="E12" s="16" t="s">
        <v>17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25">
      <c r="A13" s="17">
        <v>2</v>
      </c>
      <c r="B13" s="9"/>
      <c r="C13" s="9" t="s">
        <v>68</v>
      </c>
      <c r="D13" s="19" t="s">
        <v>260</v>
      </c>
      <c r="E13" s="20" t="s">
        <v>17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25">
      <c r="A14" s="17">
        <v>3</v>
      </c>
      <c r="B14" s="9"/>
      <c r="C14" s="9" t="s">
        <v>130</v>
      </c>
      <c r="D14" s="19" t="s">
        <v>261</v>
      </c>
      <c r="E14" s="20" t="s">
        <v>17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25">
      <c r="A15" s="17">
        <v>4</v>
      </c>
      <c r="B15" s="9"/>
      <c r="C15" s="9" t="s">
        <v>132</v>
      </c>
      <c r="D15" s="19" t="s">
        <v>262</v>
      </c>
      <c r="E15" s="20" t="s">
        <v>17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25">
      <c r="A16" s="17">
        <v>5</v>
      </c>
      <c r="B16" s="9"/>
      <c r="C16" s="9" t="s">
        <v>134</v>
      </c>
      <c r="D16" s="19" t="s">
        <v>263</v>
      </c>
      <c r="E16" s="20" t="s">
        <v>17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25">
      <c r="A17" s="17">
        <v>6</v>
      </c>
      <c r="B17" s="9"/>
      <c r="C17" s="9" t="s">
        <v>72</v>
      </c>
      <c r="D17" s="19" t="s">
        <v>264</v>
      </c>
      <c r="E17" s="20" t="s">
        <v>17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25">
      <c r="A18" s="17">
        <v>7</v>
      </c>
      <c r="B18" s="9"/>
      <c r="C18" s="9" t="s">
        <v>80</v>
      </c>
      <c r="D18" s="19" t="s">
        <v>310</v>
      </c>
      <c r="E18" s="20" t="s">
        <v>17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25">
      <c r="A19" s="17">
        <v>8</v>
      </c>
      <c r="B19" s="9"/>
      <c r="C19" s="9" t="s">
        <v>82</v>
      </c>
      <c r="D19" s="19" t="s">
        <v>265</v>
      </c>
      <c r="E19" s="20" t="s">
        <v>17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25">
      <c r="A20" s="17">
        <v>9</v>
      </c>
      <c r="B20" s="9"/>
      <c r="C20" s="9" t="s">
        <v>142</v>
      </c>
      <c r="D20" s="19" t="s">
        <v>266</v>
      </c>
      <c r="E20" s="20" t="s">
        <v>17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25">
      <c r="A21" s="17">
        <v>10</v>
      </c>
      <c r="B21" s="9"/>
      <c r="C21" s="9" t="s">
        <v>148</v>
      </c>
      <c r="D21" s="19" t="s">
        <v>267</v>
      </c>
      <c r="E21" s="20" t="s">
        <v>17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25">
      <c r="A22" s="17">
        <v>11</v>
      </c>
      <c r="B22" s="9"/>
      <c r="C22" s="9" t="s">
        <v>86</v>
      </c>
      <c r="D22" s="19" t="s">
        <v>313</v>
      </c>
      <c r="E22" s="20" t="s">
        <v>17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25">
      <c r="A23" s="17">
        <v>12</v>
      </c>
      <c r="B23" s="9"/>
      <c r="C23" s="9" t="s">
        <v>150</v>
      </c>
      <c r="D23" s="19" t="s">
        <v>311</v>
      </c>
      <c r="E23" s="20" t="s">
        <v>17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25">
      <c r="A24" s="17">
        <v>13</v>
      </c>
      <c r="B24" s="9"/>
      <c r="C24" s="9" t="s">
        <v>88</v>
      </c>
      <c r="D24" s="19" t="s">
        <v>268</v>
      </c>
      <c r="E24" s="20" t="s">
        <v>17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25">
      <c r="A25" s="17">
        <v>14</v>
      </c>
      <c r="B25" s="9"/>
      <c r="C25" s="9" t="s">
        <v>153</v>
      </c>
      <c r="D25" s="19" t="s">
        <v>269</v>
      </c>
      <c r="E25" s="20" t="s">
        <v>17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</row>
    <row r="26" spans="1:42" ht="13.5" customHeight="1" x14ac:dyDescent="0.25">
      <c r="A26" s="17">
        <v>15</v>
      </c>
      <c r="B26" s="9"/>
      <c r="C26" s="9" t="s">
        <v>157</v>
      </c>
      <c r="D26" s="19" t="s">
        <v>270</v>
      </c>
      <c r="E26" s="20" t="s">
        <v>17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  <c r="AP26" s="47"/>
    </row>
    <row r="27" spans="1:42" ht="13.5" customHeight="1" x14ac:dyDescent="0.25">
      <c r="A27" s="17">
        <v>16</v>
      </c>
      <c r="B27" s="9"/>
      <c r="C27" s="9" t="s">
        <v>159</v>
      </c>
      <c r="D27" s="19" t="s">
        <v>271</v>
      </c>
      <c r="E27" s="20" t="s">
        <v>17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25">
      <c r="A28" s="17">
        <v>17</v>
      </c>
      <c r="B28" s="9"/>
      <c r="C28" s="9" t="s">
        <v>163</v>
      </c>
      <c r="D28" s="19" t="s">
        <v>272</v>
      </c>
      <c r="E28" s="20" t="s">
        <v>17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25">
      <c r="A29" s="17">
        <v>18</v>
      </c>
      <c r="B29" s="9"/>
      <c r="C29" s="9" t="s">
        <v>90</v>
      </c>
      <c r="D29" s="19" t="s">
        <v>273</v>
      </c>
      <c r="E29" s="20" t="s">
        <v>17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25">
      <c r="A30" s="17">
        <v>19</v>
      </c>
      <c r="B30" s="9"/>
      <c r="C30" s="9" t="s">
        <v>464</v>
      </c>
      <c r="D30" s="19" t="s">
        <v>465</v>
      </c>
      <c r="E30" s="20" t="s">
        <v>17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25">
      <c r="A31" s="17">
        <v>20</v>
      </c>
      <c r="B31" s="9"/>
      <c r="C31" s="9" t="s">
        <v>94</v>
      </c>
      <c r="D31" s="19" t="s">
        <v>274</v>
      </c>
      <c r="E31" s="20" t="s">
        <v>17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25">
      <c r="A32" s="17">
        <v>21</v>
      </c>
      <c r="B32" s="9"/>
      <c r="C32" s="9" t="s">
        <v>98</v>
      </c>
      <c r="D32" s="19" t="s">
        <v>324</v>
      </c>
      <c r="E32" s="20" t="s">
        <v>17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25">
      <c r="A33" s="17">
        <v>22</v>
      </c>
      <c r="B33" s="9"/>
      <c r="C33" s="9" t="s">
        <v>100</v>
      </c>
      <c r="D33" s="19" t="s">
        <v>317</v>
      </c>
      <c r="E33" s="20" t="s">
        <v>17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  <c r="AP33" s="47"/>
    </row>
    <row r="34" spans="1:42" ht="13.5" customHeight="1" x14ac:dyDescent="0.25">
      <c r="A34" s="17">
        <v>23</v>
      </c>
      <c r="B34" s="9"/>
      <c r="C34" s="9" t="s">
        <v>167</v>
      </c>
      <c r="D34" s="19" t="s">
        <v>275</v>
      </c>
      <c r="E34" s="20" t="s">
        <v>17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</row>
    <row r="35" spans="1:42" ht="13.5" customHeight="1" x14ac:dyDescent="0.25">
      <c r="A35" s="17">
        <v>24</v>
      </c>
      <c r="B35" s="9"/>
      <c r="C35" s="9" t="s">
        <v>110</v>
      </c>
      <c r="D35" s="27" t="s">
        <v>314</v>
      </c>
      <c r="E35" s="20" t="s">
        <v>17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25">
      <c r="A36" s="17">
        <v>25</v>
      </c>
      <c r="B36" s="9"/>
      <c r="C36" s="9" t="s">
        <v>169</v>
      </c>
      <c r="D36" s="19" t="s">
        <v>276</v>
      </c>
      <c r="E36" s="20" t="s">
        <v>17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  <c r="AP36" s="47"/>
    </row>
    <row r="37" spans="1:42" ht="13.5" customHeight="1" x14ac:dyDescent="0.25">
      <c r="A37" s="17">
        <v>26</v>
      </c>
      <c r="B37" s="9"/>
      <c r="C37" s="9" t="s">
        <v>171</v>
      </c>
      <c r="D37" s="19" t="s">
        <v>277</v>
      </c>
      <c r="E37" s="20" t="s">
        <v>17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25">
      <c r="A38" s="17">
        <v>27</v>
      </c>
      <c r="B38" s="9"/>
      <c r="C38" s="9" t="s">
        <v>173</v>
      </c>
      <c r="D38" s="19" t="s">
        <v>278</v>
      </c>
      <c r="E38" s="20" t="s">
        <v>17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25">
      <c r="A39" s="17">
        <v>28</v>
      </c>
      <c r="B39" s="9"/>
      <c r="C39" s="9" t="s">
        <v>112</v>
      </c>
      <c r="D39" s="19" t="s">
        <v>279</v>
      </c>
      <c r="E39" s="20" t="s">
        <v>17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25">
      <c r="A40" s="17">
        <v>29</v>
      </c>
      <c r="B40" s="9"/>
      <c r="C40" s="9" t="s">
        <v>114</v>
      </c>
      <c r="D40" s="19" t="s">
        <v>280</v>
      </c>
      <c r="E40" s="20" t="s">
        <v>17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</row>
    <row r="41" spans="1:42" ht="13.5" customHeight="1" x14ac:dyDescent="0.25">
      <c r="A41" s="17">
        <v>30</v>
      </c>
      <c r="B41" s="9"/>
      <c r="C41" s="9" t="s">
        <v>466</v>
      </c>
      <c r="D41" s="19" t="s">
        <v>467</v>
      </c>
      <c r="E41" s="20" t="s">
        <v>17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25">
      <c r="A42" s="17">
        <v>31</v>
      </c>
      <c r="B42" s="9"/>
      <c r="C42" s="9" t="s">
        <v>116</v>
      </c>
      <c r="D42" s="19" t="s">
        <v>312</v>
      </c>
      <c r="E42" s="20" t="s">
        <v>17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  <c r="AP42" s="47"/>
    </row>
    <row r="43" spans="1:42" ht="13.5" customHeight="1" x14ac:dyDescent="0.25">
      <c r="A43" s="17">
        <v>32</v>
      </c>
      <c r="B43" s="9"/>
      <c r="C43" s="9" t="s">
        <v>118</v>
      </c>
      <c r="D43" s="19" t="s">
        <v>281</v>
      </c>
      <c r="E43" s="20" t="s">
        <v>17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25">
      <c r="A44" s="17">
        <v>33</v>
      </c>
      <c r="B44" s="9"/>
      <c r="C44" s="9" t="s">
        <v>321</v>
      </c>
      <c r="D44" s="19" t="s">
        <v>282</v>
      </c>
      <c r="E44" s="20" t="s">
        <v>17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14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9"/>
      <c r="AN44" s="41"/>
      <c r="AO44" s="34"/>
    </row>
    <row r="45" spans="1:42" ht="13.5" customHeight="1" x14ac:dyDescent="0.25">
      <c r="A45" s="9">
        <v>34</v>
      </c>
      <c r="B45" s="36"/>
      <c r="C45" s="9" t="s">
        <v>181</v>
      </c>
      <c r="D45" s="19" t="s">
        <v>283</v>
      </c>
      <c r="E45" s="20" t="s">
        <v>17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3.5" customHeight="1" x14ac:dyDescent="0.25">
      <c r="A46" s="9">
        <v>35</v>
      </c>
      <c r="B46" s="36"/>
      <c r="C46" s="9" t="s">
        <v>128</v>
      </c>
      <c r="D46" s="19" t="s">
        <v>284</v>
      </c>
      <c r="E46" s="20" t="s">
        <v>17</v>
      </c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5.75" thickBot="1" x14ac:dyDescent="0.3">
      <c r="A47" s="23">
        <v>36</v>
      </c>
      <c r="B47" s="37"/>
      <c r="C47" s="23"/>
      <c r="D47" s="24"/>
      <c r="E47" s="25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46"/>
      <c r="V47" s="22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42"/>
      <c r="AO47" s="35"/>
    </row>
    <row r="48" spans="1:42" s="1" customFormat="1" ht="15.75" x14ac:dyDescent="0.25">
      <c r="A48" s="26"/>
      <c r="B48" s="8"/>
      <c r="C48" s="8"/>
      <c r="D48" s="8"/>
      <c r="E48" s="8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spans="1:40" s="1" customFormat="1" ht="15.75" x14ac:dyDescent="0.25">
      <c r="A49" s="3"/>
      <c r="C49" s="3" t="s">
        <v>4</v>
      </c>
      <c r="D49" s="3"/>
      <c r="E49" s="5"/>
      <c r="K49" s="3"/>
      <c r="L49" s="3"/>
      <c r="M49" s="3"/>
      <c r="O49" s="5"/>
      <c r="P49" s="5"/>
      <c r="Q49" s="5"/>
      <c r="R49" s="5"/>
      <c r="S49" s="5"/>
      <c r="T49" s="5"/>
      <c r="U49" s="5"/>
      <c r="V49" s="3"/>
      <c r="W49" s="3"/>
      <c r="X49" s="3"/>
      <c r="Y49" s="3"/>
      <c r="Z49" s="3"/>
      <c r="AA49" s="3"/>
      <c r="AB49" s="3"/>
      <c r="AD49" s="5"/>
      <c r="AE49" s="5"/>
      <c r="AF49" s="5"/>
      <c r="AG49" s="5"/>
      <c r="AH49" s="5"/>
      <c r="AI49" s="5" t="s">
        <v>10</v>
      </c>
      <c r="AK49" s="5" t="s">
        <v>10</v>
      </c>
      <c r="AN49" s="5"/>
    </row>
    <row r="50" spans="1:40" s="1" customFormat="1" ht="15.75" x14ac:dyDescent="0.25">
      <c r="A50" s="3"/>
      <c r="C50" s="3" t="s">
        <v>7</v>
      </c>
      <c r="D50" s="3"/>
      <c r="E50" s="6"/>
      <c r="K50" s="3"/>
      <c r="L50" s="3"/>
      <c r="M50" s="3"/>
      <c r="O50" s="6"/>
      <c r="P50" s="6"/>
      <c r="Q50" s="6"/>
      <c r="R50" s="6"/>
      <c r="S50" s="6"/>
      <c r="T50" s="6"/>
      <c r="U50" s="6"/>
      <c r="V50" s="3"/>
      <c r="W50" s="3"/>
      <c r="X50" s="3"/>
      <c r="Y50" s="3"/>
      <c r="Z50" s="3"/>
      <c r="AA50" s="3"/>
      <c r="AB50" s="3"/>
      <c r="AD50" s="6"/>
      <c r="AE50" s="6"/>
      <c r="AF50" s="6"/>
      <c r="AG50" s="6"/>
      <c r="AH50" s="6"/>
      <c r="AI50" s="6" t="s">
        <v>11</v>
      </c>
      <c r="AK50" s="6" t="s">
        <v>11</v>
      </c>
      <c r="AN50" s="6"/>
    </row>
    <row r="51" spans="1:40" s="1" customFormat="1" ht="15.75" x14ac:dyDescent="0.25">
      <c r="A51" s="3"/>
      <c r="C51" s="3"/>
      <c r="D51" s="3"/>
      <c r="E51" s="5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75" x14ac:dyDescent="0.25">
      <c r="A52" s="3"/>
      <c r="C52" s="3"/>
      <c r="D52" s="3"/>
      <c r="E52" s="5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1" customFormat="1" ht="15.75" x14ac:dyDescent="0.25">
      <c r="A53" s="3"/>
      <c r="C53" s="3"/>
      <c r="D53" s="3"/>
      <c r="E53" s="5"/>
      <c r="K53" s="3"/>
      <c r="L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N53" s="5"/>
    </row>
    <row r="54" spans="1:40" s="26" customFormat="1" ht="15.75" x14ac:dyDescent="0.25">
      <c r="A54" s="3"/>
      <c r="B54" s="1"/>
      <c r="C54" s="4" t="s">
        <v>8</v>
      </c>
      <c r="D54" s="3"/>
      <c r="E54" s="7"/>
      <c r="G54" s="1"/>
      <c r="H54" s="1"/>
      <c r="I54" s="1"/>
      <c r="J54" s="1"/>
      <c r="K54" s="3"/>
      <c r="L54" s="3"/>
      <c r="M54" s="3"/>
      <c r="N54" s="1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  <c r="Z54" s="3"/>
      <c r="AA54" s="3"/>
      <c r="AB54" s="3"/>
      <c r="AC54" s="1"/>
      <c r="AD54" s="7"/>
      <c r="AE54" s="7"/>
      <c r="AF54" s="7"/>
      <c r="AG54" s="7"/>
      <c r="AH54" s="7"/>
      <c r="AI54" s="7" t="s">
        <v>12</v>
      </c>
      <c r="AJ54" s="1"/>
      <c r="AK54" s="7" t="s">
        <v>12</v>
      </c>
      <c r="AL54" s="1"/>
      <c r="AM54" s="1"/>
      <c r="AN54" s="7"/>
    </row>
    <row r="55" spans="1:40" x14ac:dyDescent="0.25">
      <c r="A55" s="26"/>
    </row>
  </sheetData>
  <mergeCells count="11">
    <mergeCell ref="AO9:AO11"/>
    <mergeCell ref="A1:AO1"/>
    <mergeCell ref="A2:AO2"/>
    <mergeCell ref="A3:AO3"/>
    <mergeCell ref="A9:A11"/>
    <mergeCell ref="C9:C11"/>
    <mergeCell ref="B9:B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6AFC-41E1-4DCD-9D37-9AFB69A4391C}">
  <sheetPr>
    <pageSetUpPr fitToPage="1"/>
  </sheetPr>
  <dimension ref="A1:AP56"/>
  <sheetViews>
    <sheetView view="pageBreakPreview" zoomScale="115" zoomScaleNormal="115" zoomScaleSheetLayoutView="115" workbookViewId="0">
      <selection activeCell="D43" sqref="D43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5.7109375" style="8" bestFit="1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63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64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3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/>
      <c r="C12" s="14" t="s">
        <v>136</v>
      </c>
      <c r="D12" s="15" t="s">
        <v>285</v>
      </c>
      <c r="E12" s="16" t="s">
        <v>16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25">
      <c r="A13" s="17">
        <v>2</v>
      </c>
      <c r="B13" s="9"/>
      <c r="C13" s="9" t="s">
        <v>70</v>
      </c>
      <c r="D13" s="19" t="s">
        <v>286</v>
      </c>
      <c r="E13" s="16" t="s">
        <v>16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25">
      <c r="A14" s="17">
        <v>3</v>
      </c>
      <c r="B14" s="9"/>
      <c r="C14" s="9" t="s">
        <v>138</v>
      </c>
      <c r="D14" s="19" t="s">
        <v>320</v>
      </c>
      <c r="E14" s="16" t="s">
        <v>16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25">
      <c r="A15" s="17">
        <v>4</v>
      </c>
      <c r="B15" s="9"/>
      <c r="C15" s="9" t="s">
        <v>140</v>
      </c>
      <c r="D15" s="19" t="s">
        <v>287</v>
      </c>
      <c r="E15" s="16" t="s">
        <v>16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25">
      <c r="A16" s="17">
        <v>5</v>
      </c>
      <c r="B16" s="9"/>
      <c r="C16" s="9" t="s">
        <v>74</v>
      </c>
      <c r="D16" s="19" t="s">
        <v>288</v>
      </c>
      <c r="E16" s="16" t="s">
        <v>16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25">
      <c r="A17" s="17">
        <v>6</v>
      </c>
      <c r="B17" s="9"/>
      <c r="C17" s="9" t="s">
        <v>76</v>
      </c>
      <c r="D17" s="19" t="s">
        <v>289</v>
      </c>
      <c r="E17" s="16" t="s">
        <v>16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25">
      <c r="A18" s="17">
        <v>7</v>
      </c>
      <c r="B18" s="9"/>
      <c r="C18" s="9" t="s">
        <v>78</v>
      </c>
      <c r="D18" s="19" t="s">
        <v>290</v>
      </c>
      <c r="E18" s="16" t="s">
        <v>16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25">
      <c r="A19" s="17">
        <v>8</v>
      </c>
      <c r="B19" s="9"/>
      <c r="C19" s="9" t="s">
        <v>144</v>
      </c>
      <c r="D19" s="19" t="s">
        <v>322</v>
      </c>
      <c r="E19" s="16" t="s">
        <v>16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25">
      <c r="A20" s="17">
        <v>9</v>
      </c>
      <c r="B20" s="9"/>
      <c r="C20" s="9" t="s">
        <v>146</v>
      </c>
      <c r="D20" s="19" t="s">
        <v>315</v>
      </c>
      <c r="E20" s="16" t="s">
        <v>16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25">
      <c r="A21" s="17">
        <v>10</v>
      </c>
      <c r="B21" s="9"/>
      <c r="C21" s="9" t="s">
        <v>84</v>
      </c>
      <c r="D21" s="19" t="s">
        <v>291</v>
      </c>
      <c r="E21" s="16" t="s">
        <v>16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25">
      <c r="A22" s="17">
        <v>11</v>
      </c>
      <c r="B22" s="9"/>
      <c r="C22" s="9" t="s">
        <v>151</v>
      </c>
      <c r="D22" s="19" t="s">
        <v>292</v>
      </c>
      <c r="E22" s="16" t="s">
        <v>16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25">
      <c r="A23" s="17">
        <v>12</v>
      </c>
      <c r="B23" s="9"/>
      <c r="C23" s="9" t="s">
        <v>155</v>
      </c>
      <c r="D23" s="19" t="s">
        <v>293</v>
      </c>
      <c r="E23" s="16" t="s">
        <v>16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25">
      <c r="A24" s="17">
        <v>13</v>
      </c>
      <c r="B24" s="9"/>
      <c r="C24" s="9" t="s">
        <v>161</v>
      </c>
      <c r="D24" s="19" t="s">
        <v>294</v>
      </c>
      <c r="E24" s="16" t="s">
        <v>16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25">
      <c r="A25" s="17">
        <v>14</v>
      </c>
      <c r="B25" s="9"/>
      <c r="C25" s="9" t="s">
        <v>92</v>
      </c>
      <c r="D25" s="19" t="s">
        <v>295</v>
      </c>
      <c r="E25" s="16" t="s">
        <v>16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  <c r="AP25" s="47"/>
    </row>
    <row r="26" spans="1:42" ht="13.5" customHeight="1" x14ac:dyDescent="0.25">
      <c r="A26" s="17">
        <v>15</v>
      </c>
      <c r="B26" s="9"/>
      <c r="C26" s="9" t="s">
        <v>165</v>
      </c>
      <c r="D26" s="19" t="s">
        <v>296</v>
      </c>
      <c r="E26" s="16" t="s">
        <v>16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</row>
    <row r="27" spans="1:42" ht="13.5" customHeight="1" x14ac:dyDescent="0.25">
      <c r="A27" s="17">
        <v>16</v>
      </c>
      <c r="B27" s="9"/>
      <c r="C27" s="9" t="s">
        <v>96</v>
      </c>
      <c r="D27" s="19" t="s">
        <v>297</v>
      </c>
      <c r="E27" s="16" t="s">
        <v>16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25">
      <c r="A28" s="17">
        <v>17</v>
      </c>
      <c r="B28" s="9"/>
      <c r="C28" s="9" t="s">
        <v>102</v>
      </c>
      <c r="D28" s="19" t="s">
        <v>298</v>
      </c>
      <c r="E28" s="16" t="s">
        <v>16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25">
      <c r="A29" s="17">
        <v>18</v>
      </c>
      <c r="B29" s="9"/>
      <c r="C29" s="9" t="s">
        <v>104</v>
      </c>
      <c r="D29" s="19" t="s">
        <v>299</v>
      </c>
      <c r="E29" s="16" t="s">
        <v>16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25">
      <c r="A30" s="17">
        <v>19</v>
      </c>
      <c r="B30" s="9"/>
      <c r="C30" s="9" t="s">
        <v>106</v>
      </c>
      <c r="D30" s="19" t="s">
        <v>300</v>
      </c>
      <c r="E30" s="16" t="s">
        <v>16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25">
      <c r="A31" s="17">
        <v>20</v>
      </c>
      <c r="B31" s="9"/>
      <c r="C31" s="9" t="s">
        <v>108</v>
      </c>
      <c r="D31" s="19" t="s">
        <v>301</v>
      </c>
      <c r="E31" s="16" t="s">
        <v>16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25">
      <c r="A32" s="17">
        <v>21</v>
      </c>
      <c r="B32" s="9"/>
      <c r="C32" s="9" t="s">
        <v>470</v>
      </c>
      <c r="D32" s="19" t="s">
        <v>469</v>
      </c>
      <c r="E32" s="16" t="s">
        <v>16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25">
      <c r="A33" s="17">
        <v>22</v>
      </c>
      <c r="B33" s="9"/>
      <c r="C33" s="9" t="s">
        <v>175</v>
      </c>
      <c r="D33" s="19" t="s">
        <v>319</v>
      </c>
      <c r="E33" s="16" t="s">
        <v>16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  <c r="AP33" s="47"/>
    </row>
    <row r="34" spans="1:42" ht="13.5" customHeight="1" x14ac:dyDescent="0.25">
      <c r="A34" s="17">
        <v>23</v>
      </c>
      <c r="B34" s="9"/>
      <c r="C34" s="9" t="s">
        <v>471</v>
      </c>
      <c r="D34" s="19" t="s">
        <v>468</v>
      </c>
      <c r="E34" s="16" t="s">
        <v>16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25">
      <c r="A35" s="17">
        <v>24</v>
      </c>
      <c r="B35" s="9"/>
      <c r="C35" s="9" t="s">
        <v>177</v>
      </c>
      <c r="D35" s="19" t="s">
        <v>302</v>
      </c>
      <c r="E35" s="16" t="s">
        <v>16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</row>
    <row r="36" spans="1:42" ht="13.5" customHeight="1" x14ac:dyDescent="0.25">
      <c r="A36" s="17">
        <v>25</v>
      </c>
      <c r="B36" s="9"/>
      <c r="C36" s="9" t="s">
        <v>183</v>
      </c>
      <c r="D36" s="19" t="s">
        <v>316</v>
      </c>
      <c r="E36" s="16" t="s">
        <v>16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  <c r="AP36" s="47"/>
    </row>
    <row r="37" spans="1:42" ht="13.5" customHeight="1" x14ac:dyDescent="0.25">
      <c r="A37" s="17">
        <v>26</v>
      </c>
      <c r="B37" s="9"/>
      <c r="C37" s="9" t="s">
        <v>185</v>
      </c>
      <c r="D37" s="19" t="s">
        <v>303</v>
      </c>
      <c r="E37" s="16" t="s">
        <v>16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  <c r="AP37" s="47"/>
    </row>
    <row r="38" spans="1:42" ht="13.5" customHeight="1" x14ac:dyDescent="0.25">
      <c r="A38" s="17">
        <v>27</v>
      </c>
      <c r="B38" s="9"/>
      <c r="C38" s="9" t="s">
        <v>122</v>
      </c>
      <c r="D38" s="19" t="s">
        <v>304</v>
      </c>
      <c r="E38" s="16" t="s">
        <v>16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25">
      <c r="A39" s="17">
        <v>28</v>
      </c>
      <c r="B39" s="9"/>
      <c r="C39" s="9" t="s">
        <v>124</v>
      </c>
      <c r="D39" s="19" t="s">
        <v>305</v>
      </c>
      <c r="E39" s="16" t="s">
        <v>16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25">
      <c r="A40" s="17">
        <v>29</v>
      </c>
      <c r="B40" s="9"/>
      <c r="C40" s="9" t="s">
        <v>126</v>
      </c>
      <c r="D40" s="19" t="s">
        <v>323</v>
      </c>
      <c r="E40" s="16" t="s">
        <v>16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</row>
    <row r="41" spans="1:42" ht="13.5" customHeight="1" x14ac:dyDescent="0.25">
      <c r="A41" s="17">
        <v>30</v>
      </c>
      <c r="B41" s="9"/>
      <c r="C41" s="9" t="s">
        <v>187</v>
      </c>
      <c r="D41" s="19" t="s">
        <v>306</v>
      </c>
      <c r="E41" s="16" t="s">
        <v>16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25">
      <c r="A42" s="17">
        <v>31</v>
      </c>
      <c r="B42" s="9"/>
      <c r="C42" s="9" t="s">
        <v>189</v>
      </c>
      <c r="D42" s="19" t="s">
        <v>307</v>
      </c>
      <c r="E42" s="16" t="s">
        <v>16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  <c r="AP42" s="47"/>
    </row>
    <row r="43" spans="1:42" ht="13.5" customHeight="1" x14ac:dyDescent="0.25">
      <c r="A43" s="17">
        <v>32</v>
      </c>
      <c r="B43" s="9"/>
      <c r="C43" s="9" t="s">
        <v>225</v>
      </c>
      <c r="D43" s="19" t="s">
        <v>308</v>
      </c>
      <c r="E43" s="16" t="s">
        <v>16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25">
      <c r="A44" s="17">
        <v>33</v>
      </c>
      <c r="B44" s="9"/>
      <c r="C44" s="9" t="s">
        <v>318</v>
      </c>
      <c r="D44" s="19" t="s">
        <v>309</v>
      </c>
      <c r="E44" s="16" t="s">
        <v>16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14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9"/>
      <c r="AN44" s="41"/>
      <c r="AO44" s="34"/>
    </row>
    <row r="45" spans="1:42" ht="13.5" customHeight="1" x14ac:dyDescent="0.25">
      <c r="A45" s="17">
        <v>34</v>
      </c>
      <c r="B45" s="9"/>
      <c r="C45" s="9"/>
      <c r="D45" s="19"/>
      <c r="E45" s="16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14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45"/>
      <c r="AL45" s="9"/>
      <c r="AM45" s="9"/>
      <c r="AN45" s="41"/>
      <c r="AO45" s="34"/>
    </row>
    <row r="46" spans="1:42" ht="13.5" customHeight="1" x14ac:dyDescent="0.25">
      <c r="A46" s="9">
        <v>35</v>
      </c>
      <c r="B46" s="36"/>
      <c r="C46" s="9"/>
      <c r="D46" s="19"/>
      <c r="E46" s="20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3.5" customHeight="1" x14ac:dyDescent="0.25">
      <c r="A47" s="9">
        <v>36</v>
      </c>
      <c r="B47" s="36"/>
      <c r="C47" s="9"/>
      <c r="D47" s="19"/>
      <c r="E47" s="20"/>
      <c r="F47" s="1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45"/>
      <c r="V47" s="18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4"/>
      <c r="AL47" s="9"/>
      <c r="AM47" s="9"/>
      <c r="AN47" s="41"/>
      <c r="AO47" s="34"/>
    </row>
    <row r="48" spans="1:42" ht="15.75" thickBot="1" x14ac:dyDescent="0.3">
      <c r="A48" s="23">
        <v>37</v>
      </c>
      <c r="B48" s="37"/>
      <c r="C48" s="23"/>
      <c r="D48" s="24"/>
      <c r="E48" s="25"/>
      <c r="F48" s="22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46"/>
      <c r="V48" s="22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42"/>
      <c r="AO48" s="35"/>
    </row>
    <row r="49" spans="1:40" s="1" customFormat="1" ht="15.75" x14ac:dyDescent="0.25">
      <c r="A49" s="26"/>
      <c r="B49" s="8"/>
      <c r="C49" s="8"/>
      <c r="D49" s="8"/>
      <c r="E49" s="8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s="1" customFormat="1" ht="15.75" x14ac:dyDescent="0.25">
      <c r="A50" s="3"/>
      <c r="C50" s="3" t="s">
        <v>4</v>
      </c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 t="s">
        <v>10</v>
      </c>
      <c r="AK50" s="5" t="s">
        <v>10</v>
      </c>
      <c r="AN50" s="5"/>
    </row>
    <row r="51" spans="1:40" s="1" customFormat="1" ht="15.75" x14ac:dyDescent="0.25">
      <c r="A51" s="3"/>
      <c r="C51" s="3" t="s">
        <v>7</v>
      </c>
      <c r="D51" s="3"/>
      <c r="E51" s="3"/>
      <c r="K51" s="3"/>
      <c r="L51" s="3"/>
      <c r="M51" s="3"/>
      <c r="O51" s="6"/>
      <c r="P51" s="6"/>
      <c r="Q51" s="6"/>
      <c r="R51" s="6"/>
      <c r="S51" s="6"/>
      <c r="T51" s="6"/>
      <c r="U51" s="6"/>
      <c r="V51" s="3"/>
      <c r="W51" s="3"/>
      <c r="X51" s="3"/>
      <c r="Y51" s="3"/>
      <c r="Z51" s="3"/>
      <c r="AA51" s="3"/>
      <c r="AB51" s="3"/>
      <c r="AD51" s="6"/>
      <c r="AE51" s="6"/>
      <c r="AF51" s="6"/>
      <c r="AG51" s="6"/>
      <c r="AH51" s="6"/>
      <c r="AI51" s="6" t="s">
        <v>11</v>
      </c>
      <c r="AK51" s="6" t="s">
        <v>11</v>
      </c>
      <c r="AN51" s="6"/>
    </row>
    <row r="52" spans="1:40" s="1" customFormat="1" ht="15.75" x14ac:dyDescent="0.25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1" customFormat="1" ht="15.75" x14ac:dyDescent="0.25">
      <c r="A53" s="3"/>
      <c r="C53" s="3"/>
      <c r="D53" s="3"/>
      <c r="E53" s="3"/>
      <c r="K53" s="3"/>
      <c r="L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N53" s="5"/>
    </row>
    <row r="54" spans="1:40" s="1" customFormat="1" ht="15.75" x14ac:dyDescent="0.25">
      <c r="A54" s="3"/>
      <c r="C54" s="3"/>
      <c r="D54" s="3"/>
      <c r="E54" s="3"/>
      <c r="K54" s="3"/>
      <c r="L54" s="3"/>
      <c r="M54" s="3"/>
      <c r="O54" s="5"/>
      <c r="P54" s="5"/>
      <c r="Q54" s="5"/>
      <c r="R54" s="5"/>
      <c r="S54" s="5"/>
      <c r="T54" s="5"/>
      <c r="U54" s="5"/>
      <c r="V54" s="3"/>
      <c r="W54" s="3"/>
      <c r="X54" s="3"/>
      <c r="Y54" s="3"/>
      <c r="Z54" s="3"/>
      <c r="AA54" s="3"/>
      <c r="AB54" s="3"/>
      <c r="AD54" s="5"/>
      <c r="AE54" s="5"/>
      <c r="AF54" s="5"/>
      <c r="AG54" s="5"/>
      <c r="AH54" s="5"/>
      <c r="AI54" s="5"/>
      <c r="AK54" s="5"/>
      <c r="AN54" s="5"/>
    </row>
    <row r="55" spans="1:40" s="26" customFormat="1" ht="15.75" x14ac:dyDescent="0.25">
      <c r="A55" s="3"/>
      <c r="B55" s="1"/>
      <c r="C55" s="4" t="s">
        <v>8</v>
      </c>
      <c r="D55" s="3"/>
      <c r="E55" s="3"/>
      <c r="G55" s="1"/>
      <c r="H55" s="1"/>
      <c r="I55" s="1"/>
      <c r="J55" s="1"/>
      <c r="K55" s="3"/>
      <c r="L55" s="3"/>
      <c r="M55" s="3"/>
      <c r="N55" s="1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  <c r="Z55" s="3"/>
      <c r="AA55" s="3"/>
      <c r="AB55" s="3"/>
      <c r="AC55" s="1"/>
      <c r="AD55" s="7"/>
      <c r="AE55" s="7"/>
      <c r="AF55" s="7"/>
      <c r="AG55" s="7"/>
      <c r="AH55" s="7"/>
      <c r="AI55" s="7" t="s">
        <v>12</v>
      </c>
      <c r="AJ55" s="1"/>
      <c r="AK55" s="7" t="s">
        <v>12</v>
      </c>
      <c r="AL55" s="1"/>
      <c r="AM55" s="1"/>
      <c r="AN55" s="7"/>
    </row>
    <row r="56" spans="1:40" x14ac:dyDescent="0.25">
      <c r="A56" s="26"/>
    </row>
  </sheetData>
  <mergeCells count="11">
    <mergeCell ref="AO9:AO11"/>
    <mergeCell ref="A1:AO1"/>
    <mergeCell ref="A2:AO2"/>
    <mergeCell ref="A3:AO3"/>
    <mergeCell ref="A9:A11"/>
    <mergeCell ref="C9:C11"/>
    <mergeCell ref="B9:B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0A06-3D0D-4ABB-86E4-414C6B786321}">
  <sheetPr codeName="Sheet1"/>
  <dimension ref="A1:AP54"/>
  <sheetViews>
    <sheetView tabSelected="1" view="pageBreakPreview" topLeftCell="B1" zoomScale="135" zoomScaleNormal="115" zoomScaleSheetLayoutView="130" workbookViewId="0">
      <selection activeCell="F7" sqref="F7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7.140625" style="8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481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480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54"/>
      <c r="B10" s="57"/>
      <c r="C10" s="57"/>
      <c r="D10" s="57"/>
      <c r="E10" s="60"/>
      <c r="F10" s="44" t="s">
        <v>474</v>
      </c>
      <c r="G10" s="43" t="s">
        <v>478</v>
      </c>
      <c r="H10" s="43" t="s">
        <v>477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 t="s">
        <v>479</v>
      </c>
      <c r="W10" s="43" t="s">
        <v>475</v>
      </c>
      <c r="X10" s="43" t="s">
        <v>476</v>
      </c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3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 t="s">
        <v>192</v>
      </c>
      <c r="C12" s="14" t="s">
        <v>66</v>
      </c>
      <c r="D12" s="15" t="s">
        <v>67</v>
      </c>
      <c r="E12" s="16" t="s">
        <v>17</v>
      </c>
      <c r="F12" s="13">
        <v>100</v>
      </c>
      <c r="G12" s="14">
        <v>100</v>
      </c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>
        <f>AVERAGE(F12:O12)</f>
        <v>66.666666666666671</v>
      </c>
      <c r="V12" s="13">
        <v>80</v>
      </c>
      <c r="W12" s="13">
        <v>80</v>
      </c>
      <c r="X12" s="14">
        <v>80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>
        <f>AVERAGE(V12:AE12)</f>
        <v>80</v>
      </c>
      <c r="AL12" s="14">
        <v>95</v>
      </c>
      <c r="AM12" s="14">
        <v>0</v>
      </c>
      <c r="AN12" s="41">
        <v>80</v>
      </c>
      <c r="AO12" s="34">
        <f>(U12*15%)+(AK12*15%)+(AL12*15%)+(AM12*35%)+(AN12*20%)</f>
        <v>52.25</v>
      </c>
    </row>
    <row r="13" spans="1:42" ht="13.5" customHeight="1" x14ac:dyDescent="0.25">
      <c r="A13" s="17">
        <v>2</v>
      </c>
      <c r="B13" s="9" t="s">
        <v>193</v>
      </c>
      <c r="C13" s="9" t="s">
        <v>68</v>
      </c>
      <c r="D13" s="27" t="s">
        <v>69</v>
      </c>
      <c r="E13" s="20" t="s">
        <v>17</v>
      </c>
      <c r="F13" s="18">
        <v>100</v>
      </c>
      <c r="G13" s="9">
        <v>100</v>
      </c>
      <c r="H13" s="9">
        <v>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>
        <f t="shared" ref="U13:U44" si="0">AVERAGE(F13:O13)</f>
        <v>66.666666666666671</v>
      </c>
      <c r="V13" s="13">
        <v>90</v>
      </c>
      <c r="W13" s="9">
        <v>90</v>
      </c>
      <c r="X13" s="14">
        <v>90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>
        <f t="shared" ref="AK13:AK44" si="1">AVERAGE(V13:AE13)</f>
        <v>90</v>
      </c>
      <c r="AL13" s="9">
        <v>95</v>
      </c>
      <c r="AM13" s="14">
        <v>0</v>
      </c>
      <c r="AN13" s="41">
        <v>80</v>
      </c>
      <c r="AO13" s="34">
        <f t="shared" ref="AO13:AO44" si="2">(U13*15%)+(AK13*15%)+(AL13*15%)+(AM13*35%)+(AN13*20%)</f>
        <v>53.75</v>
      </c>
      <c r="AP13" s="47"/>
    </row>
    <row r="14" spans="1:42" ht="13.5" customHeight="1" x14ac:dyDescent="0.25">
      <c r="A14" s="17">
        <v>3</v>
      </c>
      <c r="B14" s="9" t="s">
        <v>194</v>
      </c>
      <c r="C14" s="9" t="s">
        <v>70</v>
      </c>
      <c r="D14" s="19" t="s">
        <v>71</v>
      </c>
      <c r="E14" s="20" t="s">
        <v>17</v>
      </c>
      <c r="F14" s="18">
        <v>100</v>
      </c>
      <c r="G14" s="9">
        <v>100</v>
      </c>
      <c r="H14" s="9">
        <v>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>
        <f t="shared" si="0"/>
        <v>66.666666666666671</v>
      </c>
      <c r="V14" s="13">
        <v>90</v>
      </c>
      <c r="W14" s="9">
        <v>90</v>
      </c>
      <c r="X14" s="14">
        <v>90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>
        <f t="shared" si="1"/>
        <v>90</v>
      </c>
      <c r="AL14" s="9">
        <v>95</v>
      </c>
      <c r="AM14" s="14">
        <v>0</v>
      </c>
      <c r="AN14" s="41">
        <v>80</v>
      </c>
      <c r="AO14" s="34">
        <f t="shared" si="2"/>
        <v>53.75</v>
      </c>
      <c r="AP14" s="47"/>
    </row>
    <row r="15" spans="1:42" ht="13.5" customHeight="1" x14ac:dyDescent="0.25">
      <c r="A15" s="17">
        <v>4</v>
      </c>
      <c r="B15" s="9" t="s">
        <v>195</v>
      </c>
      <c r="C15" s="9" t="s">
        <v>72</v>
      </c>
      <c r="D15" s="27" t="s">
        <v>73</v>
      </c>
      <c r="E15" s="20" t="s">
        <v>17</v>
      </c>
      <c r="F15" s="18">
        <v>100</v>
      </c>
      <c r="G15" s="9">
        <v>100</v>
      </c>
      <c r="H15" s="9">
        <v>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>
        <f t="shared" si="0"/>
        <v>66.666666666666671</v>
      </c>
      <c r="V15" s="13">
        <v>90</v>
      </c>
      <c r="W15" s="9">
        <v>90</v>
      </c>
      <c r="X15" s="14">
        <v>90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>
        <f t="shared" si="1"/>
        <v>90</v>
      </c>
      <c r="AL15" s="9">
        <v>95</v>
      </c>
      <c r="AM15" s="14">
        <v>0</v>
      </c>
      <c r="AN15" s="41">
        <v>80</v>
      </c>
      <c r="AO15" s="34">
        <f t="shared" si="2"/>
        <v>53.75</v>
      </c>
      <c r="AP15" s="47"/>
    </row>
    <row r="16" spans="1:42" ht="13.5" customHeight="1" x14ac:dyDescent="0.25">
      <c r="A16" s="17">
        <v>5</v>
      </c>
      <c r="B16" s="9" t="s">
        <v>196</v>
      </c>
      <c r="C16" s="9" t="s">
        <v>74</v>
      </c>
      <c r="D16" s="19" t="s">
        <v>75</v>
      </c>
      <c r="E16" s="20" t="s">
        <v>17</v>
      </c>
      <c r="F16" s="18">
        <v>100</v>
      </c>
      <c r="G16" s="9">
        <v>100</v>
      </c>
      <c r="H16" s="9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>
        <f t="shared" si="0"/>
        <v>66.666666666666671</v>
      </c>
      <c r="V16" s="13">
        <v>90</v>
      </c>
      <c r="W16" s="9">
        <v>90</v>
      </c>
      <c r="X16" s="14">
        <v>90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>
        <f t="shared" si="1"/>
        <v>90</v>
      </c>
      <c r="AL16" s="9">
        <v>95</v>
      </c>
      <c r="AM16" s="14">
        <v>0</v>
      </c>
      <c r="AN16" s="41">
        <v>80</v>
      </c>
      <c r="AO16" s="34">
        <f t="shared" si="2"/>
        <v>53.75</v>
      </c>
    </row>
    <row r="17" spans="1:42" ht="13.5" customHeight="1" x14ac:dyDescent="0.25">
      <c r="A17" s="17">
        <v>6</v>
      </c>
      <c r="B17" s="9" t="s">
        <v>197</v>
      </c>
      <c r="C17" s="9" t="s">
        <v>76</v>
      </c>
      <c r="D17" s="19" t="s">
        <v>77</v>
      </c>
      <c r="E17" s="20" t="s">
        <v>17</v>
      </c>
      <c r="F17" s="18">
        <v>100</v>
      </c>
      <c r="G17" s="9">
        <v>100</v>
      </c>
      <c r="H17" s="9">
        <v>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>
        <f t="shared" si="0"/>
        <v>66.666666666666671</v>
      </c>
      <c r="V17" s="13">
        <v>90</v>
      </c>
      <c r="W17" s="9">
        <v>90</v>
      </c>
      <c r="X17" s="14">
        <v>90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>
        <f t="shared" si="1"/>
        <v>90</v>
      </c>
      <c r="AL17" s="9">
        <v>95</v>
      </c>
      <c r="AM17" s="14">
        <v>0</v>
      </c>
      <c r="AN17" s="41">
        <v>80</v>
      </c>
      <c r="AO17" s="34">
        <f t="shared" si="2"/>
        <v>53.75</v>
      </c>
    </row>
    <row r="18" spans="1:42" ht="13.5" customHeight="1" x14ac:dyDescent="0.25">
      <c r="A18" s="17">
        <v>7</v>
      </c>
      <c r="B18" s="9" t="s">
        <v>198</v>
      </c>
      <c r="C18" s="9" t="s">
        <v>78</v>
      </c>
      <c r="D18" s="19" t="s">
        <v>79</v>
      </c>
      <c r="E18" s="20" t="s">
        <v>17</v>
      </c>
      <c r="F18" s="18">
        <v>100</v>
      </c>
      <c r="G18" s="9">
        <v>100</v>
      </c>
      <c r="H18" s="9">
        <v>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>
        <f t="shared" si="0"/>
        <v>66.666666666666671</v>
      </c>
      <c r="V18" s="13">
        <v>90</v>
      </c>
      <c r="W18" s="9">
        <v>90</v>
      </c>
      <c r="X18" s="14">
        <v>90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>
        <f t="shared" si="1"/>
        <v>90</v>
      </c>
      <c r="AL18" s="9">
        <v>95</v>
      </c>
      <c r="AM18" s="14">
        <v>0</v>
      </c>
      <c r="AN18" s="41">
        <v>80</v>
      </c>
      <c r="AO18" s="34">
        <f t="shared" si="2"/>
        <v>53.75</v>
      </c>
    </row>
    <row r="19" spans="1:42" ht="13.5" customHeight="1" x14ac:dyDescent="0.25">
      <c r="A19" s="17">
        <v>8</v>
      </c>
      <c r="B19" s="9" t="s">
        <v>199</v>
      </c>
      <c r="C19" s="9" t="s">
        <v>80</v>
      </c>
      <c r="D19" s="19" t="s">
        <v>81</v>
      </c>
      <c r="E19" s="20" t="s">
        <v>17</v>
      </c>
      <c r="F19" s="18">
        <v>100</v>
      </c>
      <c r="G19" s="9">
        <v>100</v>
      </c>
      <c r="H19" s="9">
        <v>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>
        <f t="shared" si="0"/>
        <v>66.666666666666671</v>
      </c>
      <c r="V19" s="13">
        <v>90</v>
      </c>
      <c r="W19" s="9">
        <v>90</v>
      </c>
      <c r="X19" s="14">
        <v>90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>
        <f t="shared" si="1"/>
        <v>90</v>
      </c>
      <c r="AL19" s="9">
        <v>95</v>
      </c>
      <c r="AM19" s="14">
        <v>0</v>
      </c>
      <c r="AN19" s="41">
        <v>80</v>
      </c>
      <c r="AO19" s="34">
        <f t="shared" si="2"/>
        <v>53.75</v>
      </c>
      <c r="AP19" s="47"/>
    </row>
    <row r="20" spans="1:42" ht="13.5" customHeight="1" x14ac:dyDescent="0.25">
      <c r="A20" s="17">
        <v>9</v>
      </c>
      <c r="B20" s="9" t="s">
        <v>200</v>
      </c>
      <c r="C20" s="9" t="s">
        <v>82</v>
      </c>
      <c r="D20" s="27" t="s">
        <v>83</v>
      </c>
      <c r="E20" s="20" t="s">
        <v>17</v>
      </c>
      <c r="F20" s="18">
        <v>100</v>
      </c>
      <c r="G20" s="9">
        <v>100</v>
      </c>
      <c r="H20" s="9">
        <v>100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>
        <f t="shared" si="0"/>
        <v>100</v>
      </c>
      <c r="V20" s="13">
        <v>90</v>
      </c>
      <c r="W20" s="9">
        <v>90</v>
      </c>
      <c r="X20" s="14">
        <v>90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>
        <f t="shared" si="1"/>
        <v>90</v>
      </c>
      <c r="AL20" s="9">
        <v>95</v>
      </c>
      <c r="AM20" s="14">
        <v>0</v>
      </c>
      <c r="AN20" s="41">
        <v>80</v>
      </c>
      <c r="AO20" s="34">
        <f t="shared" si="2"/>
        <v>58.75</v>
      </c>
    </row>
    <row r="21" spans="1:42" ht="13.5" customHeight="1" x14ac:dyDescent="0.25">
      <c r="A21" s="17">
        <v>10</v>
      </c>
      <c r="B21" s="9" t="s">
        <v>201</v>
      </c>
      <c r="C21" s="9" t="s">
        <v>84</v>
      </c>
      <c r="D21" s="19" t="s">
        <v>85</v>
      </c>
      <c r="E21" s="20" t="s">
        <v>17</v>
      </c>
      <c r="F21" s="18">
        <v>100</v>
      </c>
      <c r="G21" s="9">
        <v>100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>
        <f t="shared" si="0"/>
        <v>66.666666666666671</v>
      </c>
      <c r="V21" s="13">
        <v>90</v>
      </c>
      <c r="W21" s="9">
        <v>90</v>
      </c>
      <c r="X21" s="14">
        <v>90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>
        <f t="shared" si="1"/>
        <v>90</v>
      </c>
      <c r="AL21" s="9">
        <v>95</v>
      </c>
      <c r="AM21" s="14">
        <v>0</v>
      </c>
      <c r="AN21" s="41">
        <v>80</v>
      </c>
      <c r="AO21" s="34">
        <f t="shared" si="2"/>
        <v>53.75</v>
      </c>
      <c r="AP21" s="47"/>
    </row>
    <row r="22" spans="1:42" ht="13.5" customHeight="1" x14ac:dyDescent="0.25">
      <c r="A22" s="17">
        <v>11</v>
      </c>
      <c r="B22" s="9" t="s">
        <v>202</v>
      </c>
      <c r="C22" s="9" t="s">
        <v>86</v>
      </c>
      <c r="D22" s="19" t="s">
        <v>87</v>
      </c>
      <c r="E22" s="20" t="s">
        <v>17</v>
      </c>
      <c r="F22" s="18">
        <v>100</v>
      </c>
      <c r="G22" s="9">
        <v>100</v>
      </c>
      <c r="H22" s="9">
        <v>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>
        <f t="shared" si="0"/>
        <v>66.666666666666671</v>
      </c>
      <c r="V22" s="13">
        <v>90</v>
      </c>
      <c r="W22" s="9">
        <v>90</v>
      </c>
      <c r="X22" s="14">
        <v>90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>
        <f t="shared" si="1"/>
        <v>90</v>
      </c>
      <c r="AL22" s="9">
        <v>95</v>
      </c>
      <c r="AM22" s="14">
        <v>0</v>
      </c>
      <c r="AN22" s="41">
        <v>80</v>
      </c>
      <c r="AO22" s="34">
        <f t="shared" si="2"/>
        <v>53.75</v>
      </c>
      <c r="AP22" s="47"/>
    </row>
    <row r="23" spans="1:42" ht="13.5" customHeight="1" x14ac:dyDescent="0.25">
      <c r="A23" s="17">
        <v>12</v>
      </c>
      <c r="B23" s="9" t="s">
        <v>203</v>
      </c>
      <c r="C23" s="9" t="s">
        <v>88</v>
      </c>
      <c r="D23" s="27" t="s">
        <v>89</v>
      </c>
      <c r="E23" s="20" t="s">
        <v>17</v>
      </c>
      <c r="F23" s="18">
        <v>100</v>
      </c>
      <c r="G23" s="9">
        <v>100</v>
      </c>
      <c r="H23" s="9">
        <v>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>
        <f t="shared" si="0"/>
        <v>66.666666666666671</v>
      </c>
      <c r="V23" s="13">
        <v>90</v>
      </c>
      <c r="W23" s="9">
        <v>90</v>
      </c>
      <c r="X23" s="14">
        <v>90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>
        <f t="shared" si="1"/>
        <v>90</v>
      </c>
      <c r="AL23" s="9">
        <v>95</v>
      </c>
      <c r="AM23" s="14">
        <v>0</v>
      </c>
      <c r="AN23" s="41">
        <v>80</v>
      </c>
      <c r="AO23" s="34">
        <f t="shared" si="2"/>
        <v>53.75</v>
      </c>
      <c r="AP23" s="47"/>
    </row>
    <row r="24" spans="1:42" ht="13.5" customHeight="1" x14ac:dyDescent="0.25">
      <c r="A24" s="17">
        <v>13</v>
      </c>
      <c r="B24" s="9" t="s">
        <v>204</v>
      </c>
      <c r="C24" s="9" t="s">
        <v>90</v>
      </c>
      <c r="D24" s="19" t="s">
        <v>91</v>
      </c>
      <c r="E24" s="20" t="s">
        <v>17</v>
      </c>
      <c r="F24" s="18">
        <v>100</v>
      </c>
      <c r="G24" s="9">
        <v>100</v>
      </c>
      <c r="H24" s="9">
        <v>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>
        <f t="shared" si="0"/>
        <v>66.666666666666671</v>
      </c>
      <c r="V24" s="13">
        <v>90</v>
      </c>
      <c r="W24" s="9">
        <v>90</v>
      </c>
      <c r="X24" s="14">
        <v>90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>
        <f t="shared" si="1"/>
        <v>90</v>
      </c>
      <c r="AL24" s="9">
        <v>95</v>
      </c>
      <c r="AM24" s="14">
        <v>0</v>
      </c>
      <c r="AN24" s="41">
        <v>80</v>
      </c>
      <c r="AO24" s="34">
        <f t="shared" si="2"/>
        <v>53.75</v>
      </c>
      <c r="AP24" s="47"/>
    </row>
    <row r="25" spans="1:42" ht="13.5" customHeight="1" x14ac:dyDescent="0.25">
      <c r="A25" s="17">
        <v>14</v>
      </c>
      <c r="B25" s="9" t="s">
        <v>205</v>
      </c>
      <c r="C25" s="9" t="s">
        <v>92</v>
      </c>
      <c r="D25" s="19" t="s">
        <v>93</v>
      </c>
      <c r="E25" s="20" t="s">
        <v>17</v>
      </c>
      <c r="F25" s="18">
        <v>100</v>
      </c>
      <c r="G25" s="9">
        <v>100</v>
      </c>
      <c r="H25" s="9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>
        <f t="shared" si="0"/>
        <v>66.666666666666671</v>
      </c>
      <c r="V25" s="13">
        <v>90</v>
      </c>
      <c r="W25" s="9">
        <v>90</v>
      </c>
      <c r="X25" s="14">
        <v>90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>
        <f t="shared" si="1"/>
        <v>90</v>
      </c>
      <c r="AL25" s="9">
        <v>95</v>
      </c>
      <c r="AM25" s="14">
        <v>0</v>
      </c>
      <c r="AN25" s="41">
        <v>80</v>
      </c>
      <c r="AO25" s="34">
        <f t="shared" si="2"/>
        <v>53.75</v>
      </c>
      <c r="AP25" s="47"/>
    </row>
    <row r="26" spans="1:42" ht="13.5" customHeight="1" x14ac:dyDescent="0.25">
      <c r="A26" s="17">
        <v>15</v>
      </c>
      <c r="B26" s="9" t="s">
        <v>206</v>
      </c>
      <c r="C26" s="9" t="s">
        <v>94</v>
      </c>
      <c r="D26" s="19" t="s">
        <v>95</v>
      </c>
      <c r="E26" s="20" t="s">
        <v>17</v>
      </c>
      <c r="F26" s="18">
        <v>100</v>
      </c>
      <c r="G26" s="9">
        <v>100</v>
      </c>
      <c r="H26" s="9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>
        <f t="shared" si="0"/>
        <v>66.666666666666671</v>
      </c>
      <c r="V26" s="13">
        <v>90</v>
      </c>
      <c r="W26" s="9">
        <v>90</v>
      </c>
      <c r="X26" s="14">
        <v>90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>
        <f t="shared" si="1"/>
        <v>90</v>
      </c>
      <c r="AL26" s="9">
        <v>95</v>
      </c>
      <c r="AM26" s="14">
        <v>0</v>
      </c>
      <c r="AN26" s="41">
        <v>80</v>
      </c>
      <c r="AO26" s="34">
        <f t="shared" si="2"/>
        <v>53.75</v>
      </c>
    </row>
    <row r="27" spans="1:42" ht="13.5" customHeight="1" x14ac:dyDescent="0.25">
      <c r="A27" s="17">
        <v>16</v>
      </c>
      <c r="B27" s="9" t="s">
        <v>207</v>
      </c>
      <c r="C27" s="9" t="s">
        <v>225</v>
      </c>
      <c r="D27" s="19" t="s">
        <v>226</v>
      </c>
      <c r="E27" s="20" t="s">
        <v>17</v>
      </c>
      <c r="F27" s="18">
        <v>100</v>
      </c>
      <c r="G27" s="9">
        <v>100</v>
      </c>
      <c r="H27" s="9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>
        <f t="shared" si="0"/>
        <v>66.666666666666671</v>
      </c>
      <c r="V27" s="13">
        <v>90</v>
      </c>
      <c r="W27" s="9">
        <v>90</v>
      </c>
      <c r="X27" s="14">
        <v>90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>
        <f t="shared" si="1"/>
        <v>90</v>
      </c>
      <c r="AL27" s="9">
        <v>95</v>
      </c>
      <c r="AM27" s="14">
        <v>0</v>
      </c>
      <c r="AN27" s="41">
        <v>80</v>
      </c>
      <c r="AO27" s="34">
        <f t="shared" si="2"/>
        <v>53.75</v>
      </c>
      <c r="AP27" s="47"/>
    </row>
    <row r="28" spans="1:42" ht="13.5" customHeight="1" x14ac:dyDescent="0.25">
      <c r="A28" s="17">
        <v>17</v>
      </c>
      <c r="B28" s="9" t="s">
        <v>208</v>
      </c>
      <c r="C28" s="9" t="s">
        <v>96</v>
      </c>
      <c r="D28" s="19" t="s">
        <v>97</v>
      </c>
      <c r="E28" s="20" t="s">
        <v>17</v>
      </c>
      <c r="F28" s="18">
        <v>100</v>
      </c>
      <c r="G28" s="9">
        <v>90</v>
      </c>
      <c r="H28" s="9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>
        <f t="shared" si="0"/>
        <v>63.333333333333336</v>
      </c>
      <c r="V28" s="13">
        <v>90</v>
      </c>
      <c r="W28" s="9">
        <v>90</v>
      </c>
      <c r="X28" s="14">
        <v>90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>
        <f t="shared" si="1"/>
        <v>90</v>
      </c>
      <c r="AL28" s="9">
        <v>90</v>
      </c>
      <c r="AM28" s="14">
        <v>0</v>
      </c>
      <c r="AN28" s="41">
        <v>80</v>
      </c>
      <c r="AO28" s="34">
        <f t="shared" si="2"/>
        <v>52.5</v>
      </c>
      <c r="AP28" s="47"/>
    </row>
    <row r="29" spans="1:42" ht="13.5" customHeight="1" x14ac:dyDescent="0.25">
      <c r="A29" s="17">
        <v>18</v>
      </c>
      <c r="B29" s="9" t="s">
        <v>209</v>
      </c>
      <c r="C29" s="9" t="s">
        <v>98</v>
      </c>
      <c r="D29" s="19" t="s">
        <v>99</v>
      </c>
      <c r="E29" s="20" t="s">
        <v>17</v>
      </c>
      <c r="F29" s="18">
        <v>100</v>
      </c>
      <c r="G29" s="9">
        <v>100</v>
      </c>
      <c r="H29" s="9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>
        <f t="shared" si="0"/>
        <v>66.666666666666671</v>
      </c>
      <c r="V29" s="13">
        <v>90</v>
      </c>
      <c r="W29" s="9">
        <v>90</v>
      </c>
      <c r="X29" s="14">
        <v>90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>
        <f t="shared" si="1"/>
        <v>90</v>
      </c>
      <c r="AL29" s="9">
        <v>95</v>
      </c>
      <c r="AM29" s="14">
        <v>0</v>
      </c>
      <c r="AN29" s="41">
        <v>80</v>
      </c>
      <c r="AO29" s="34">
        <f t="shared" si="2"/>
        <v>53.75</v>
      </c>
      <c r="AP29" s="47"/>
    </row>
    <row r="30" spans="1:42" ht="13.5" customHeight="1" x14ac:dyDescent="0.25">
      <c r="A30" s="17">
        <v>19</v>
      </c>
      <c r="B30" s="9" t="s">
        <v>210</v>
      </c>
      <c r="C30" s="9" t="s">
        <v>100</v>
      </c>
      <c r="D30" s="19" t="s">
        <v>101</v>
      </c>
      <c r="E30" s="20" t="s">
        <v>17</v>
      </c>
      <c r="F30" s="18">
        <v>100</v>
      </c>
      <c r="G30" s="9">
        <v>100</v>
      </c>
      <c r="H30" s="9">
        <v>100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>
        <f t="shared" si="0"/>
        <v>100</v>
      </c>
      <c r="V30" s="13">
        <v>90</v>
      </c>
      <c r="W30" s="9">
        <v>90</v>
      </c>
      <c r="X30" s="14">
        <v>90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>
        <f t="shared" si="1"/>
        <v>90</v>
      </c>
      <c r="AL30" s="9">
        <v>95</v>
      </c>
      <c r="AM30" s="14">
        <v>0</v>
      </c>
      <c r="AN30" s="41">
        <v>80</v>
      </c>
      <c r="AO30" s="34">
        <f t="shared" si="2"/>
        <v>58.75</v>
      </c>
      <c r="AP30" s="47"/>
    </row>
    <row r="31" spans="1:42" ht="13.5" customHeight="1" x14ac:dyDescent="0.25">
      <c r="A31" s="17">
        <v>20</v>
      </c>
      <c r="B31" s="9" t="s">
        <v>211</v>
      </c>
      <c r="C31" s="9" t="s">
        <v>102</v>
      </c>
      <c r="D31" s="27" t="s">
        <v>103</v>
      </c>
      <c r="E31" s="20" t="s">
        <v>17</v>
      </c>
      <c r="F31" s="18">
        <v>100</v>
      </c>
      <c r="G31" s="9">
        <v>100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>
        <f t="shared" si="0"/>
        <v>66.666666666666671</v>
      </c>
      <c r="V31" s="13">
        <v>90</v>
      </c>
      <c r="W31" s="9">
        <v>90</v>
      </c>
      <c r="X31" s="14">
        <v>90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>
        <f t="shared" si="1"/>
        <v>90</v>
      </c>
      <c r="AL31" s="9">
        <v>95</v>
      </c>
      <c r="AM31" s="14">
        <v>0</v>
      </c>
      <c r="AN31" s="41">
        <v>80</v>
      </c>
      <c r="AO31" s="34">
        <f t="shared" si="2"/>
        <v>53.75</v>
      </c>
      <c r="AP31" s="47"/>
    </row>
    <row r="32" spans="1:42" ht="13.5" customHeight="1" x14ac:dyDescent="0.25">
      <c r="A32" s="17">
        <v>21</v>
      </c>
      <c r="B32" s="9" t="s">
        <v>212</v>
      </c>
      <c r="C32" s="9" t="s">
        <v>104</v>
      </c>
      <c r="D32" s="27" t="s">
        <v>105</v>
      </c>
      <c r="E32" s="20" t="s">
        <v>17</v>
      </c>
      <c r="F32" s="18">
        <v>100</v>
      </c>
      <c r="G32" s="9">
        <v>100</v>
      </c>
      <c r="H32" s="9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>
        <f t="shared" si="0"/>
        <v>66.666666666666671</v>
      </c>
      <c r="V32" s="13">
        <v>90</v>
      </c>
      <c r="W32" s="9">
        <v>90</v>
      </c>
      <c r="X32" s="14">
        <v>90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>
        <f t="shared" si="1"/>
        <v>90</v>
      </c>
      <c r="AL32" s="9">
        <v>95</v>
      </c>
      <c r="AM32" s="14">
        <v>0</v>
      </c>
      <c r="AN32" s="41">
        <v>80</v>
      </c>
      <c r="AO32" s="34">
        <f t="shared" si="2"/>
        <v>53.75</v>
      </c>
      <c r="AP32" s="47"/>
    </row>
    <row r="33" spans="1:42" ht="13.5" customHeight="1" x14ac:dyDescent="0.25">
      <c r="A33" s="17">
        <v>22</v>
      </c>
      <c r="B33" s="9" t="s">
        <v>213</v>
      </c>
      <c r="C33" s="9" t="s">
        <v>106</v>
      </c>
      <c r="D33" s="27" t="s">
        <v>107</v>
      </c>
      <c r="E33" s="20" t="s">
        <v>17</v>
      </c>
      <c r="F33" s="18">
        <v>100</v>
      </c>
      <c r="G33" s="9">
        <v>100</v>
      </c>
      <c r="H33" s="9">
        <v>100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>
        <f t="shared" si="0"/>
        <v>100</v>
      </c>
      <c r="V33" s="13">
        <v>90</v>
      </c>
      <c r="W33" s="9">
        <v>90</v>
      </c>
      <c r="X33" s="14">
        <v>90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>
        <f t="shared" si="1"/>
        <v>90</v>
      </c>
      <c r="AL33" s="9">
        <v>95</v>
      </c>
      <c r="AM33" s="14">
        <v>0</v>
      </c>
      <c r="AN33" s="41">
        <v>80</v>
      </c>
      <c r="AO33" s="34">
        <f t="shared" si="2"/>
        <v>58.75</v>
      </c>
    </row>
    <row r="34" spans="1:42" ht="13.5" customHeight="1" x14ac:dyDescent="0.25">
      <c r="A34" s="17">
        <v>23</v>
      </c>
      <c r="B34" s="9" t="s">
        <v>214</v>
      </c>
      <c r="C34" s="9" t="s">
        <v>108</v>
      </c>
      <c r="D34" s="27" t="s">
        <v>109</v>
      </c>
      <c r="E34" s="20" t="s">
        <v>17</v>
      </c>
      <c r="F34" s="18">
        <v>100</v>
      </c>
      <c r="G34" s="9">
        <v>100</v>
      </c>
      <c r="H34" s="9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>
        <f t="shared" si="0"/>
        <v>66.666666666666671</v>
      </c>
      <c r="V34" s="13">
        <v>90</v>
      </c>
      <c r="W34" s="9">
        <v>90</v>
      </c>
      <c r="X34" s="14">
        <v>90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>
        <f t="shared" si="1"/>
        <v>90</v>
      </c>
      <c r="AL34" s="9">
        <v>95</v>
      </c>
      <c r="AM34" s="14">
        <v>0</v>
      </c>
      <c r="AN34" s="41">
        <v>80</v>
      </c>
      <c r="AO34" s="34">
        <f t="shared" si="2"/>
        <v>53.75</v>
      </c>
      <c r="AP34" s="47"/>
    </row>
    <row r="35" spans="1:42" ht="13.5" customHeight="1" x14ac:dyDescent="0.25">
      <c r="A35" s="17">
        <v>24</v>
      </c>
      <c r="B35" s="9" t="s">
        <v>215</v>
      </c>
      <c r="C35" s="9" t="s">
        <v>110</v>
      </c>
      <c r="D35" s="27" t="s">
        <v>111</v>
      </c>
      <c r="E35" s="20" t="s">
        <v>17</v>
      </c>
      <c r="F35" s="18">
        <v>100</v>
      </c>
      <c r="G35" s="9">
        <v>100</v>
      </c>
      <c r="H35" s="9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>
        <f t="shared" si="0"/>
        <v>66.666666666666671</v>
      </c>
      <c r="V35" s="13">
        <v>90</v>
      </c>
      <c r="W35" s="9">
        <v>90</v>
      </c>
      <c r="X35" s="14">
        <v>90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>
        <f t="shared" si="1"/>
        <v>90</v>
      </c>
      <c r="AL35" s="9">
        <v>95</v>
      </c>
      <c r="AM35" s="14">
        <v>0</v>
      </c>
      <c r="AN35" s="41">
        <v>80</v>
      </c>
      <c r="AO35" s="34">
        <f t="shared" si="2"/>
        <v>53.75</v>
      </c>
      <c r="AP35" s="47"/>
    </row>
    <row r="36" spans="1:42" ht="13.5" customHeight="1" x14ac:dyDescent="0.25">
      <c r="A36" s="17">
        <v>25</v>
      </c>
      <c r="B36" s="9" t="s">
        <v>216</v>
      </c>
      <c r="C36" s="9" t="s">
        <v>112</v>
      </c>
      <c r="D36" s="19" t="s">
        <v>113</v>
      </c>
      <c r="E36" s="20" t="s">
        <v>17</v>
      </c>
      <c r="F36" s="18">
        <v>100</v>
      </c>
      <c r="G36" s="9">
        <v>90</v>
      </c>
      <c r="H36" s="9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>
        <f t="shared" si="0"/>
        <v>63.333333333333336</v>
      </c>
      <c r="V36" s="13">
        <v>90</v>
      </c>
      <c r="W36" s="9">
        <v>90</v>
      </c>
      <c r="X36" s="14">
        <v>90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>
        <f t="shared" si="1"/>
        <v>90</v>
      </c>
      <c r="AL36" s="9">
        <v>90</v>
      </c>
      <c r="AM36" s="14">
        <v>0</v>
      </c>
      <c r="AN36" s="41">
        <v>80</v>
      </c>
      <c r="AO36" s="34">
        <f t="shared" si="2"/>
        <v>52.5</v>
      </c>
    </row>
    <row r="37" spans="1:42" ht="13.5" customHeight="1" x14ac:dyDescent="0.25">
      <c r="A37" s="17">
        <v>26</v>
      </c>
      <c r="B37" s="9" t="s">
        <v>217</v>
      </c>
      <c r="C37" s="9" t="s">
        <v>114</v>
      </c>
      <c r="D37" s="19" t="s">
        <v>115</v>
      </c>
      <c r="E37" s="20" t="s">
        <v>17</v>
      </c>
      <c r="F37" s="18">
        <v>100</v>
      </c>
      <c r="G37" s="9">
        <v>100</v>
      </c>
      <c r="H37" s="9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>
        <f t="shared" si="0"/>
        <v>66.666666666666671</v>
      </c>
      <c r="V37" s="13">
        <v>90</v>
      </c>
      <c r="W37" s="9">
        <v>90</v>
      </c>
      <c r="X37" s="14">
        <v>90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>
        <f t="shared" si="1"/>
        <v>90</v>
      </c>
      <c r="AL37" s="9">
        <v>95</v>
      </c>
      <c r="AM37" s="14">
        <v>0</v>
      </c>
      <c r="AN37" s="41">
        <v>80</v>
      </c>
      <c r="AO37" s="34">
        <f t="shared" si="2"/>
        <v>53.75</v>
      </c>
    </row>
    <row r="38" spans="1:42" ht="13.5" customHeight="1" x14ac:dyDescent="0.25">
      <c r="A38" s="17">
        <v>27</v>
      </c>
      <c r="B38" s="9" t="s">
        <v>218</v>
      </c>
      <c r="C38" s="9" t="s">
        <v>116</v>
      </c>
      <c r="D38" s="27" t="s">
        <v>117</v>
      </c>
      <c r="E38" s="20" t="s">
        <v>17</v>
      </c>
      <c r="F38" s="18">
        <v>100</v>
      </c>
      <c r="G38" s="9">
        <v>100</v>
      </c>
      <c r="H38" s="9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>
        <f t="shared" si="0"/>
        <v>66.666666666666671</v>
      </c>
      <c r="V38" s="13">
        <v>90</v>
      </c>
      <c r="W38" s="9">
        <v>90</v>
      </c>
      <c r="X38" s="14">
        <v>90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>
        <f t="shared" si="1"/>
        <v>90</v>
      </c>
      <c r="AL38" s="9">
        <v>95</v>
      </c>
      <c r="AM38" s="14">
        <v>0</v>
      </c>
      <c r="AN38" s="41">
        <v>80</v>
      </c>
      <c r="AO38" s="34">
        <f t="shared" si="2"/>
        <v>53.75</v>
      </c>
    </row>
    <row r="39" spans="1:42" ht="13.5" customHeight="1" x14ac:dyDescent="0.25">
      <c r="A39" s="17">
        <v>28</v>
      </c>
      <c r="B39" s="9" t="s">
        <v>219</v>
      </c>
      <c r="C39" s="9" t="s">
        <v>118</v>
      </c>
      <c r="D39" s="19" t="s">
        <v>119</v>
      </c>
      <c r="E39" s="20" t="s">
        <v>17</v>
      </c>
      <c r="F39" s="18">
        <v>100</v>
      </c>
      <c r="G39" s="9">
        <v>100</v>
      </c>
      <c r="H39" s="9"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>
        <f t="shared" si="0"/>
        <v>66.666666666666671</v>
      </c>
      <c r="V39" s="13">
        <v>90</v>
      </c>
      <c r="W39" s="9">
        <v>90</v>
      </c>
      <c r="X39" s="14">
        <v>90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>
        <f t="shared" si="1"/>
        <v>90</v>
      </c>
      <c r="AL39" s="9">
        <v>95</v>
      </c>
      <c r="AM39" s="14">
        <v>0</v>
      </c>
      <c r="AN39" s="41">
        <v>80</v>
      </c>
      <c r="AO39" s="34">
        <f t="shared" si="2"/>
        <v>53.75</v>
      </c>
    </row>
    <row r="40" spans="1:42" ht="13.5" customHeight="1" x14ac:dyDescent="0.25">
      <c r="A40" s="17">
        <v>29</v>
      </c>
      <c r="B40" s="9" t="s">
        <v>220</v>
      </c>
      <c r="C40" s="9" t="s">
        <v>120</v>
      </c>
      <c r="D40" s="27" t="s">
        <v>121</v>
      </c>
      <c r="E40" s="20" t="s">
        <v>17</v>
      </c>
      <c r="F40" s="18">
        <v>100</v>
      </c>
      <c r="G40" s="9">
        <v>100</v>
      </c>
      <c r="H40" s="9">
        <v>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>
        <f t="shared" si="0"/>
        <v>66.666666666666671</v>
      </c>
      <c r="V40" s="13">
        <v>90</v>
      </c>
      <c r="W40" s="9">
        <v>90</v>
      </c>
      <c r="X40" s="14">
        <v>90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>
        <f t="shared" si="1"/>
        <v>90</v>
      </c>
      <c r="AL40" s="9">
        <v>95</v>
      </c>
      <c r="AM40" s="14">
        <v>0</v>
      </c>
      <c r="AN40" s="41">
        <v>80</v>
      </c>
      <c r="AO40" s="34">
        <f t="shared" si="2"/>
        <v>53.75</v>
      </c>
      <c r="AP40" s="47"/>
    </row>
    <row r="41" spans="1:42" ht="13.5" customHeight="1" x14ac:dyDescent="0.25">
      <c r="A41" s="17">
        <v>30</v>
      </c>
      <c r="B41" s="9" t="s">
        <v>221</v>
      </c>
      <c r="C41" s="9" t="s">
        <v>122</v>
      </c>
      <c r="D41" s="19" t="s">
        <v>123</v>
      </c>
      <c r="E41" s="20" t="s">
        <v>17</v>
      </c>
      <c r="F41" s="18">
        <v>100</v>
      </c>
      <c r="G41" s="9">
        <v>100</v>
      </c>
      <c r="H41" s="9">
        <v>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>
        <f t="shared" si="0"/>
        <v>66.666666666666671</v>
      </c>
      <c r="V41" s="13">
        <v>90</v>
      </c>
      <c r="W41" s="9">
        <v>90</v>
      </c>
      <c r="X41" s="14">
        <v>90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>
        <f t="shared" si="1"/>
        <v>90</v>
      </c>
      <c r="AL41" s="9">
        <v>95</v>
      </c>
      <c r="AM41" s="14">
        <v>0</v>
      </c>
      <c r="AN41" s="41">
        <v>80</v>
      </c>
      <c r="AO41" s="34">
        <f t="shared" si="2"/>
        <v>53.75</v>
      </c>
    </row>
    <row r="42" spans="1:42" ht="13.5" customHeight="1" x14ac:dyDescent="0.25">
      <c r="A42" s="17">
        <v>31</v>
      </c>
      <c r="B42" s="9" t="s">
        <v>222</v>
      </c>
      <c r="C42" s="9" t="s">
        <v>124</v>
      </c>
      <c r="D42" s="19" t="s">
        <v>125</v>
      </c>
      <c r="E42" s="20" t="s">
        <v>17</v>
      </c>
      <c r="F42" s="18">
        <v>100</v>
      </c>
      <c r="G42" s="9">
        <v>100</v>
      </c>
      <c r="H42" s="9">
        <v>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>
        <f t="shared" si="0"/>
        <v>66.666666666666671</v>
      </c>
      <c r="V42" s="13">
        <v>90</v>
      </c>
      <c r="W42" s="9">
        <v>90</v>
      </c>
      <c r="X42" s="14">
        <v>90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>
        <f t="shared" si="1"/>
        <v>90</v>
      </c>
      <c r="AL42" s="9">
        <v>95</v>
      </c>
      <c r="AM42" s="14">
        <v>0</v>
      </c>
      <c r="AN42" s="41">
        <v>80</v>
      </c>
      <c r="AO42" s="34">
        <f t="shared" si="2"/>
        <v>53.75</v>
      </c>
    </row>
    <row r="43" spans="1:42" ht="13.5" customHeight="1" x14ac:dyDescent="0.25">
      <c r="A43" s="17">
        <v>32</v>
      </c>
      <c r="B43" s="9" t="s">
        <v>223</v>
      </c>
      <c r="C43" s="9" t="s">
        <v>126</v>
      </c>
      <c r="D43" s="19" t="s">
        <v>127</v>
      </c>
      <c r="E43" s="20" t="s">
        <v>17</v>
      </c>
      <c r="F43" s="18">
        <v>100</v>
      </c>
      <c r="G43" s="9">
        <v>100</v>
      </c>
      <c r="H43" s="9">
        <v>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>
        <f t="shared" si="0"/>
        <v>66.666666666666671</v>
      </c>
      <c r="V43" s="13">
        <v>90</v>
      </c>
      <c r="W43" s="9">
        <v>90</v>
      </c>
      <c r="X43" s="14">
        <v>90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>
        <f t="shared" si="1"/>
        <v>90</v>
      </c>
      <c r="AL43" s="9">
        <v>95</v>
      </c>
      <c r="AM43" s="14">
        <v>0</v>
      </c>
      <c r="AN43" s="41">
        <v>80</v>
      </c>
      <c r="AO43" s="34">
        <f t="shared" si="2"/>
        <v>53.75</v>
      </c>
    </row>
    <row r="44" spans="1:42" ht="13.5" customHeight="1" x14ac:dyDescent="0.25">
      <c r="A44" s="17">
        <v>33</v>
      </c>
      <c r="B44" s="18" t="s">
        <v>224</v>
      </c>
      <c r="C44" s="9" t="s">
        <v>128</v>
      </c>
      <c r="D44" s="19" t="s">
        <v>129</v>
      </c>
      <c r="E44" s="20"/>
      <c r="F44" s="18">
        <v>100</v>
      </c>
      <c r="G44" s="9">
        <v>100</v>
      </c>
      <c r="H44" s="9">
        <v>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>
        <f t="shared" si="0"/>
        <v>66.666666666666671</v>
      </c>
      <c r="V44" s="13">
        <v>90</v>
      </c>
      <c r="W44" s="9">
        <v>90</v>
      </c>
      <c r="X44" s="14">
        <v>90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>
        <f t="shared" si="1"/>
        <v>90</v>
      </c>
      <c r="AL44" s="9">
        <v>95</v>
      </c>
      <c r="AM44" s="14">
        <v>0</v>
      </c>
      <c r="AN44" s="41">
        <v>80</v>
      </c>
      <c r="AO44" s="34">
        <f t="shared" si="2"/>
        <v>53.75</v>
      </c>
    </row>
    <row r="45" spans="1:42" ht="13.5" customHeight="1" x14ac:dyDescent="0.25">
      <c r="A45" s="17">
        <v>34</v>
      </c>
      <c r="B45" s="18"/>
      <c r="C45" s="9"/>
      <c r="D45" s="19"/>
      <c r="E45" s="20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5.75" thickBot="1" x14ac:dyDescent="0.3">
      <c r="A46" s="21">
        <v>35</v>
      </c>
      <c r="B46" s="22"/>
      <c r="C46" s="23"/>
      <c r="D46" s="24"/>
      <c r="E46" s="25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75" x14ac:dyDescent="0.25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75" x14ac:dyDescent="0.25">
      <c r="A48" s="3"/>
      <c r="C48" s="3" t="s">
        <v>4</v>
      </c>
      <c r="D48" s="3"/>
      <c r="E48" s="3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75" x14ac:dyDescent="0.25">
      <c r="A49" s="3"/>
      <c r="C49" s="3" t="s">
        <v>7</v>
      </c>
      <c r="D49" s="3"/>
      <c r="E49" s="3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75" x14ac:dyDescent="0.25">
      <c r="A50" s="3"/>
      <c r="C50" s="3"/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75" x14ac:dyDescent="0.25">
      <c r="A51" s="3"/>
      <c r="C51" s="3"/>
      <c r="D51" s="3"/>
      <c r="E51" s="3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75" x14ac:dyDescent="0.25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75" x14ac:dyDescent="0.25">
      <c r="A53" s="3"/>
      <c r="B53" s="1"/>
      <c r="C53" s="4" t="s">
        <v>8</v>
      </c>
      <c r="D53" s="3"/>
      <c r="E53" s="3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25">
      <c r="A54" s="26"/>
    </row>
  </sheetData>
  <mergeCells count="11">
    <mergeCell ref="A1:AO1"/>
    <mergeCell ref="A2:AO2"/>
    <mergeCell ref="A3:AO3"/>
    <mergeCell ref="F9:T9"/>
    <mergeCell ref="D9:D11"/>
    <mergeCell ref="B9:B11"/>
    <mergeCell ref="E9:E11"/>
    <mergeCell ref="AO9:AO11"/>
    <mergeCell ref="C9:C11"/>
    <mergeCell ref="A9:A11"/>
    <mergeCell ref="V9:AJ9"/>
  </mergeCells>
  <phoneticPr fontId="12" type="noConversion"/>
  <printOptions horizontalCentered="1"/>
  <pageMargins left="0.12" right="0.12" top="0.39370078740157499" bottom="0.14000000000000001" header="0.31496062992126" footer="0.13"/>
  <pageSetup paperSize="10000"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2DAB-FF75-43E5-BCC7-6A8D87027050}">
  <sheetPr codeName="Sheet2">
    <pageSetUpPr fitToPage="1"/>
  </sheetPr>
  <dimension ref="A1:AQ55"/>
  <sheetViews>
    <sheetView view="pageBreakPreview" zoomScale="130" zoomScaleNormal="115" zoomScaleSheetLayoutView="100" workbookViewId="0">
      <selection activeCell="F44" sqref="F44:AO44"/>
    </sheetView>
  </sheetViews>
  <sheetFormatPr defaultColWidth="9.140625" defaultRowHeight="15" x14ac:dyDescent="0.25"/>
  <cols>
    <col min="1" max="1" width="3.7109375" style="8" customWidth="1"/>
    <col min="2" max="2" width="13.140625" style="8" customWidth="1"/>
    <col min="3" max="3" width="12.140625" style="8" customWidth="1"/>
    <col min="4" max="4" width="27" style="8" customWidth="1"/>
    <col min="5" max="5" width="2.85546875" style="8" customWidth="1"/>
    <col min="6" max="15" width="4.42578125" style="26" customWidth="1"/>
    <col min="16" max="20" width="4.42578125" style="26" hidden="1" customWidth="1"/>
    <col min="21" max="21" width="8.140625" style="26" customWidth="1"/>
    <col min="22" max="31" width="4.42578125" style="26" customWidth="1"/>
    <col min="32" max="36" width="4.42578125" style="26" hidden="1" customWidth="1"/>
    <col min="37" max="37" width="8.28515625" style="26" bestFit="1" customWidth="1"/>
    <col min="38" max="39" width="7.7109375" style="26" customWidth="1"/>
    <col min="40" max="40" width="5.7109375" style="26" bestFit="1" customWidth="1"/>
    <col min="41" max="41" width="14.85546875" style="26" bestFit="1" customWidth="1"/>
    <col min="42" max="42" width="9.140625" style="8" customWidth="1"/>
    <col min="43" max="16384" width="9.140625" style="8"/>
  </cols>
  <sheetData>
    <row r="1" spans="1:42" ht="18.75" x14ac:dyDescent="0.25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8.75" x14ac:dyDescent="0.25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8.75" x14ac:dyDescent="0.25">
      <c r="A3" s="52" t="s">
        <v>325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75" x14ac:dyDescent="0.25">
      <c r="A5" s="2" t="s">
        <v>0</v>
      </c>
      <c r="B5" s="2"/>
      <c r="D5" s="2" t="s">
        <v>482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75" x14ac:dyDescent="0.25">
      <c r="A6" s="2" t="s">
        <v>1</v>
      </c>
      <c r="B6" s="2"/>
      <c r="D6" s="2" t="s">
        <v>480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.75" x14ac:dyDescent="0.25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5.75" thickBot="1" x14ac:dyDescent="0.3">
      <c r="A8" s="8" t="s">
        <v>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25">
      <c r="A9" s="62" t="s">
        <v>2</v>
      </c>
      <c r="B9" s="56" t="s">
        <v>14</v>
      </c>
      <c r="C9" s="64" t="s">
        <v>13</v>
      </c>
      <c r="D9" s="63" t="s">
        <v>3</v>
      </c>
      <c r="E9" s="70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25">
      <c r="A10" s="65"/>
      <c r="B10" s="57"/>
      <c r="C10" s="67"/>
      <c r="D10" s="57"/>
      <c r="E10" s="60"/>
      <c r="F10" s="44" t="s">
        <v>474</v>
      </c>
      <c r="G10" s="43" t="s">
        <v>478</v>
      </c>
      <c r="H10" s="43" t="s">
        <v>477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 t="s">
        <v>479</v>
      </c>
      <c r="W10" s="43" t="s">
        <v>475</v>
      </c>
      <c r="X10" s="43" t="s">
        <v>476</v>
      </c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5.75" thickBot="1" x14ac:dyDescent="0.3">
      <c r="A11" s="66"/>
      <c r="B11" s="58"/>
      <c r="C11" s="68"/>
      <c r="D11" s="69"/>
      <c r="E11" s="7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25">
      <c r="A12" s="12">
        <v>1</v>
      </c>
      <c r="B12" s="14" t="s">
        <v>227</v>
      </c>
      <c r="C12" s="14" t="s">
        <v>130</v>
      </c>
      <c r="D12" s="15" t="s">
        <v>131</v>
      </c>
      <c r="E12" s="16" t="s">
        <v>16</v>
      </c>
      <c r="F12" s="13">
        <v>100</v>
      </c>
      <c r="G12" s="14">
        <v>100</v>
      </c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>
        <f>AVERAGE(F12:O12)</f>
        <v>66.666666666666671</v>
      </c>
      <c r="V12" s="13">
        <v>90</v>
      </c>
      <c r="W12" s="13">
        <v>90</v>
      </c>
      <c r="X12" s="14">
        <v>90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>
        <f>AVERAGE(V12:AE12)</f>
        <v>90</v>
      </c>
      <c r="AL12" s="14">
        <v>95</v>
      </c>
      <c r="AM12" s="14">
        <v>0</v>
      </c>
      <c r="AN12" s="41">
        <v>80</v>
      </c>
      <c r="AO12" s="34">
        <f>(U12*15%)+(AK12*15%)+(AL12*15%)+(AM12*35%)+(AN12*20%)</f>
        <v>53.75</v>
      </c>
    </row>
    <row r="13" spans="1:42" ht="13.5" customHeight="1" x14ac:dyDescent="0.25">
      <c r="A13" s="17">
        <v>2</v>
      </c>
      <c r="B13" s="9" t="s">
        <v>228</v>
      </c>
      <c r="C13" s="9" t="s">
        <v>132</v>
      </c>
      <c r="D13" s="19" t="s">
        <v>133</v>
      </c>
      <c r="E13" s="20" t="s">
        <v>16</v>
      </c>
      <c r="F13" s="18">
        <v>100</v>
      </c>
      <c r="G13" s="9">
        <v>100</v>
      </c>
      <c r="H13" s="9">
        <v>100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>
        <f t="shared" ref="U13:U44" si="0">AVERAGE(F13:O13)</f>
        <v>100</v>
      </c>
      <c r="V13" s="13">
        <v>90</v>
      </c>
      <c r="W13" s="9">
        <v>90</v>
      </c>
      <c r="X13" s="14">
        <v>90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>
        <f t="shared" ref="AK13:AK44" si="1">AVERAGE(V13:AE13)</f>
        <v>90</v>
      </c>
      <c r="AL13" s="9">
        <v>95</v>
      </c>
      <c r="AM13" s="14">
        <v>0</v>
      </c>
      <c r="AN13" s="41">
        <v>80</v>
      </c>
      <c r="AO13" s="34">
        <f t="shared" ref="AO13:AO44" si="2">(U13*15%)+(AK13*15%)+(AL13*15%)+(AM13*35%)+(AN13*20%)</f>
        <v>58.75</v>
      </c>
      <c r="AP13" s="47"/>
    </row>
    <row r="14" spans="1:42" ht="13.5" customHeight="1" x14ac:dyDescent="0.25">
      <c r="A14" s="17">
        <v>3</v>
      </c>
      <c r="B14" s="9" t="s">
        <v>229</v>
      </c>
      <c r="C14" s="9" t="s">
        <v>134</v>
      </c>
      <c r="D14" s="19" t="s">
        <v>135</v>
      </c>
      <c r="E14" s="20" t="s">
        <v>16</v>
      </c>
      <c r="F14" s="18">
        <v>100</v>
      </c>
      <c r="G14" s="9">
        <v>100</v>
      </c>
      <c r="H14" s="9">
        <v>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>
        <f t="shared" si="0"/>
        <v>66.666666666666671</v>
      </c>
      <c r="V14" s="13">
        <v>90</v>
      </c>
      <c r="W14" s="9">
        <v>90</v>
      </c>
      <c r="X14" s="14">
        <v>90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>
        <f t="shared" si="1"/>
        <v>90</v>
      </c>
      <c r="AL14" s="9">
        <v>95</v>
      </c>
      <c r="AM14" s="14">
        <v>0</v>
      </c>
      <c r="AN14" s="41">
        <v>80</v>
      </c>
      <c r="AO14" s="34">
        <f t="shared" si="2"/>
        <v>53.75</v>
      </c>
    </row>
    <row r="15" spans="1:42" ht="13.5" customHeight="1" x14ac:dyDescent="0.25">
      <c r="A15" s="17">
        <v>4</v>
      </c>
      <c r="B15" s="9" t="s">
        <v>230</v>
      </c>
      <c r="C15" s="9" t="s">
        <v>136</v>
      </c>
      <c r="D15" s="19" t="s">
        <v>137</v>
      </c>
      <c r="E15" s="20" t="s">
        <v>16</v>
      </c>
      <c r="F15" s="18">
        <v>100</v>
      </c>
      <c r="G15" s="9">
        <v>100</v>
      </c>
      <c r="H15" s="9">
        <v>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>
        <f t="shared" si="0"/>
        <v>66.666666666666671</v>
      </c>
      <c r="V15" s="13">
        <v>90</v>
      </c>
      <c r="W15" s="9">
        <v>90</v>
      </c>
      <c r="X15" s="14">
        <v>90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>
        <f t="shared" si="1"/>
        <v>90</v>
      </c>
      <c r="AL15" s="9">
        <v>90</v>
      </c>
      <c r="AM15" s="14">
        <v>0</v>
      </c>
      <c r="AN15" s="41">
        <v>80</v>
      </c>
      <c r="AO15" s="34">
        <f t="shared" si="2"/>
        <v>53</v>
      </c>
      <c r="AP15" s="47"/>
    </row>
    <row r="16" spans="1:42" ht="13.5" customHeight="1" x14ac:dyDescent="0.25">
      <c r="A16" s="17">
        <v>5</v>
      </c>
      <c r="B16" s="9" t="s">
        <v>231</v>
      </c>
      <c r="C16" s="9" t="s">
        <v>138</v>
      </c>
      <c r="D16" s="19" t="s">
        <v>139</v>
      </c>
      <c r="E16" s="20" t="s">
        <v>16</v>
      </c>
      <c r="F16" s="18">
        <v>100</v>
      </c>
      <c r="G16" s="9">
        <v>100</v>
      </c>
      <c r="H16" s="9">
        <v>100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>
        <f t="shared" si="0"/>
        <v>100</v>
      </c>
      <c r="V16" s="13">
        <v>90</v>
      </c>
      <c r="W16" s="9">
        <v>90</v>
      </c>
      <c r="X16" s="14">
        <v>90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>
        <f t="shared" si="1"/>
        <v>90</v>
      </c>
      <c r="AL16" s="9">
        <v>95</v>
      </c>
      <c r="AM16" s="14">
        <v>0</v>
      </c>
      <c r="AN16" s="41">
        <v>80</v>
      </c>
      <c r="AO16" s="34">
        <f t="shared" si="2"/>
        <v>58.75</v>
      </c>
      <c r="AP16" s="47"/>
    </row>
    <row r="17" spans="1:42" ht="13.5" customHeight="1" x14ac:dyDescent="0.25">
      <c r="A17" s="17">
        <v>6</v>
      </c>
      <c r="B17" s="9" t="s">
        <v>232</v>
      </c>
      <c r="C17" s="9" t="s">
        <v>140</v>
      </c>
      <c r="D17" s="19" t="s">
        <v>141</v>
      </c>
      <c r="E17" s="20" t="s">
        <v>16</v>
      </c>
      <c r="F17" s="18">
        <v>100</v>
      </c>
      <c r="G17" s="9">
        <v>100</v>
      </c>
      <c r="H17" s="9">
        <v>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>
        <f t="shared" si="0"/>
        <v>66.666666666666671</v>
      </c>
      <c r="V17" s="13">
        <v>80</v>
      </c>
      <c r="W17" s="9">
        <v>80</v>
      </c>
      <c r="X17" s="14">
        <v>80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>
        <f t="shared" si="1"/>
        <v>80</v>
      </c>
      <c r="AL17" s="9">
        <v>75</v>
      </c>
      <c r="AM17" s="14">
        <v>0</v>
      </c>
      <c r="AN17" s="41">
        <v>80</v>
      </c>
      <c r="AO17" s="34">
        <f t="shared" si="2"/>
        <v>49.25</v>
      </c>
      <c r="AP17" s="47"/>
    </row>
    <row r="18" spans="1:42" ht="13.5" customHeight="1" x14ac:dyDescent="0.25">
      <c r="A18" s="17">
        <v>7</v>
      </c>
      <c r="B18" s="9" t="s">
        <v>233</v>
      </c>
      <c r="C18" s="9" t="s">
        <v>142</v>
      </c>
      <c r="D18" s="19" t="s">
        <v>143</v>
      </c>
      <c r="E18" s="20" t="s">
        <v>16</v>
      </c>
      <c r="F18" s="18">
        <v>100</v>
      </c>
      <c r="G18" s="9">
        <v>100</v>
      </c>
      <c r="H18" s="9">
        <v>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>
        <f t="shared" si="0"/>
        <v>66.666666666666671</v>
      </c>
      <c r="V18" s="13">
        <v>90</v>
      </c>
      <c r="W18" s="9">
        <v>90</v>
      </c>
      <c r="X18" s="14">
        <v>90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>
        <f t="shared" si="1"/>
        <v>90</v>
      </c>
      <c r="AL18" s="9">
        <v>92.5</v>
      </c>
      <c r="AM18" s="14">
        <v>0</v>
      </c>
      <c r="AN18" s="41">
        <v>80</v>
      </c>
      <c r="AO18" s="34">
        <f t="shared" si="2"/>
        <v>53.375</v>
      </c>
    </row>
    <row r="19" spans="1:42" ht="13.5" customHeight="1" x14ac:dyDescent="0.25">
      <c r="A19" s="17">
        <v>8</v>
      </c>
      <c r="B19" s="9" t="s">
        <v>234</v>
      </c>
      <c r="C19" s="9" t="s">
        <v>144</v>
      </c>
      <c r="D19" s="19" t="s">
        <v>145</v>
      </c>
      <c r="E19" s="20" t="s">
        <v>16</v>
      </c>
      <c r="F19" s="18">
        <v>100</v>
      </c>
      <c r="G19" s="9">
        <v>100</v>
      </c>
      <c r="H19" s="9">
        <v>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>
        <f t="shared" si="0"/>
        <v>66.666666666666671</v>
      </c>
      <c r="V19" s="13">
        <v>75</v>
      </c>
      <c r="W19" s="9">
        <v>75</v>
      </c>
      <c r="X19" s="14">
        <v>75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>
        <f t="shared" si="1"/>
        <v>75</v>
      </c>
      <c r="AL19" s="9">
        <v>80</v>
      </c>
      <c r="AM19" s="14">
        <v>0</v>
      </c>
      <c r="AN19" s="41">
        <v>80</v>
      </c>
      <c r="AO19" s="34">
        <f t="shared" si="2"/>
        <v>49.25</v>
      </c>
    </row>
    <row r="20" spans="1:42" ht="13.5" customHeight="1" x14ac:dyDescent="0.25">
      <c r="A20" s="17">
        <v>9</v>
      </c>
      <c r="B20" s="9" t="s">
        <v>235</v>
      </c>
      <c r="C20" s="9" t="s">
        <v>146</v>
      </c>
      <c r="D20" s="19" t="s">
        <v>147</v>
      </c>
      <c r="E20" s="20" t="s">
        <v>16</v>
      </c>
      <c r="F20" s="18">
        <v>100</v>
      </c>
      <c r="G20" s="9">
        <v>100</v>
      </c>
      <c r="H20" s="9">
        <v>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>
        <f t="shared" si="0"/>
        <v>66.666666666666671</v>
      </c>
      <c r="V20" s="13">
        <v>90</v>
      </c>
      <c r="W20" s="9">
        <v>90</v>
      </c>
      <c r="X20" s="14">
        <v>90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>
        <f t="shared" si="1"/>
        <v>90</v>
      </c>
      <c r="AL20" s="9">
        <v>90</v>
      </c>
      <c r="AM20" s="14">
        <v>0</v>
      </c>
      <c r="AN20" s="41">
        <v>80</v>
      </c>
      <c r="AO20" s="34">
        <f t="shared" si="2"/>
        <v>53</v>
      </c>
    </row>
    <row r="21" spans="1:42" ht="13.5" customHeight="1" x14ac:dyDescent="0.25">
      <c r="A21" s="17">
        <v>10</v>
      </c>
      <c r="B21" s="9" t="s">
        <v>236</v>
      </c>
      <c r="C21" s="9" t="s">
        <v>148</v>
      </c>
      <c r="D21" s="19" t="s">
        <v>149</v>
      </c>
      <c r="E21" s="20" t="s">
        <v>16</v>
      </c>
      <c r="F21" s="18">
        <v>100</v>
      </c>
      <c r="G21" s="9">
        <v>100</v>
      </c>
      <c r="H21" s="9">
        <v>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>
        <f t="shared" si="0"/>
        <v>66.666666666666671</v>
      </c>
      <c r="V21" s="13">
        <v>90</v>
      </c>
      <c r="W21" s="9">
        <v>90</v>
      </c>
      <c r="X21" s="14">
        <v>90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>
        <f t="shared" si="1"/>
        <v>90</v>
      </c>
      <c r="AL21" s="9">
        <v>95</v>
      </c>
      <c r="AM21" s="14">
        <v>0</v>
      </c>
      <c r="AN21" s="41">
        <v>80</v>
      </c>
      <c r="AO21" s="34">
        <f t="shared" si="2"/>
        <v>53.75</v>
      </c>
    </row>
    <row r="22" spans="1:42" ht="13.5" customHeight="1" x14ac:dyDescent="0.25">
      <c r="A22" s="17">
        <v>11</v>
      </c>
      <c r="B22" s="9" t="s">
        <v>237</v>
      </c>
      <c r="C22" s="9" t="s">
        <v>150</v>
      </c>
      <c r="D22" s="19" t="s">
        <v>258</v>
      </c>
      <c r="E22" s="20" t="s">
        <v>16</v>
      </c>
      <c r="F22" s="18">
        <v>100</v>
      </c>
      <c r="G22" s="9">
        <v>100</v>
      </c>
      <c r="H22" s="9">
        <v>98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>
        <f t="shared" si="0"/>
        <v>99.333333333333329</v>
      </c>
      <c r="V22" s="13">
        <v>90</v>
      </c>
      <c r="W22" s="9">
        <v>90</v>
      </c>
      <c r="X22" s="14">
        <v>90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>
        <f t="shared" si="1"/>
        <v>90</v>
      </c>
      <c r="AL22" s="9">
        <v>95</v>
      </c>
      <c r="AM22" s="14">
        <v>0</v>
      </c>
      <c r="AN22" s="41">
        <v>80</v>
      </c>
      <c r="AO22" s="34">
        <f t="shared" si="2"/>
        <v>58.65</v>
      </c>
      <c r="AP22" s="47"/>
    </row>
    <row r="23" spans="1:42" ht="13.5" customHeight="1" x14ac:dyDescent="0.25">
      <c r="A23" s="17">
        <v>12</v>
      </c>
      <c r="B23" s="9" t="s">
        <v>238</v>
      </c>
      <c r="C23" s="9" t="s">
        <v>151</v>
      </c>
      <c r="D23" s="19" t="s">
        <v>152</v>
      </c>
      <c r="E23" s="20" t="s">
        <v>16</v>
      </c>
      <c r="F23" s="18">
        <v>100</v>
      </c>
      <c r="G23" s="9">
        <v>100</v>
      </c>
      <c r="H23" s="9">
        <v>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>
        <f t="shared" si="0"/>
        <v>66.666666666666671</v>
      </c>
      <c r="V23" s="13">
        <v>90</v>
      </c>
      <c r="W23" s="9">
        <v>90</v>
      </c>
      <c r="X23" s="14">
        <v>90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>
        <f t="shared" si="1"/>
        <v>90</v>
      </c>
      <c r="AL23" s="9">
        <v>95</v>
      </c>
      <c r="AM23" s="14">
        <v>0</v>
      </c>
      <c r="AN23" s="41">
        <v>80</v>
      </c>
      <c r="AO23" s="34">
        <f t="shared" si="2"/>
        <v>53.75</v>
      </c>
    </row>
    <row r="24" spans="1:42" ht="13.5" customHeight="1" x14ac:dyDescent="0.25">
      <c r="A24" s="17">
        <v>13</v>
      </c>
      <c r="B24" s="9" t="s">
        <v>239</v>
      </c>
      <c r="C24" s="9" t="s">
        <v>153</v>
      </c>
      <c r="D24" s="48" t="s">
        <v>154</v>
      </c>
      <c r="E24" s="20" t="s">
        <v>16</v>
      </c>
      <c r="F24" s="18">
        <v>100</v>
      </c>
      <c r="G24" s="9">
        <v>100</v>
      </c>
      <c r="H24" s="9">
        <v>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>
        <f t="shared" si="0"/>
        <v>66.666666666666671</v>
      </c>
      <c r="V24" s="13">
        <v>90</v>
      </c>
      <c r="W24" s="9">
        <v>90</v>
      </c>
      <c r="X24" s="14">
        <v>90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>
        <f t="shared" si="1"/>
        <v>90</v>
      </c>
      <c r="AL24" s="9">
        <v>95</v>
      </c>
      <c r="AM24" s="14">
        <v>0</v>
      </c>
      <c r="AN24" s="41">
        <v>80</v>
      </c>
      <c r="AO24" s="34">
        <f t="shared" si="2"/>
        <v>53.75</v>
      </c>
    </row>
    <row r="25" spans="1:42" ht="13.5" customHeight="1" x14ac:dyDescent="0.25">
      <c r="A25" s="17">
        <v>14</v>
      </c>
      <c r="B25" s="9" t="s">
        <v>240</v>
      </c>
      <c r="C25" s="9" t="s">
        <v>155</v>
      </c>
      <c r="D25" s="19" t="s">
        <v>156</v>
      </c>
      <c r="E25" s="20" t="s">
        <v>16</v>
      </c>
      <c r="F25" s="18">
        <v>100</v>
      </c>
      <c r="G25" s="9">
        <v>100</v>
      </c>
      <c r="H25" s="9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>
        <f t="shared" si="0"/>
        <v>66.666666666666671</v>
      </c>
      <c r="V25" s="13">
        <v>90</v>
      </c>
      <c r="W25" s="9">
        <v>90</v>
      </c>
      <c r="X25" s="14">
        <v>90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>
        <f t="shared" si="1"/>
        <v>90</v>
      </c>
      <c r="AL25" s="9">
        <v>92.5</v>
      </c>
      <c r="AM25" s="14">
        <v>0</v>
      </c>
      <c r="AN25" s="41">
        <v>80</v>
      </c>
      <c r="AO25" s="34">
        <f t="shared" si="2"/>
        <v>53.375</v>
      </c>
    </row>
    <row r="26" spans="1:42" ht="13.5" customHeight="1" x14ac:dyDescent="0.25">
      <c r="A26" s="17">
        <v>15</v>
      </c>
      <c r="B26" s="9" t="s">
        <v>241</v>
      </c>
      <c r="C26" s="9" t="s">
        <v>157</v>
      </c>
      <c r="D26" s="19" t="s">
        <v>158</v>
      </c>
      <c r="E26" s="20" t="s">
        <v>16</v>
      </c>
      <c r="F26" s="18">
        <v>100</v>
      </c>
      <c r="G26" s="9">
        <v>100</v>
      </c>
      <c r="H26" s="9">
        <v>100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>
        <f t="shared" si="0"/>
        <v>100</v>
      </c>
      <c r="V26" s="13">
        <v>90</v>
      </c>
      <c r="W26" s="9">
        <v>90</v>
      </c>
      <c r="X26" s="14">
        <v>90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>
        <f t="shared" si="1"/>
        <v>90</v>
      </c>
      <c r="AL26" s="9">
        <v>92.5</v>
      </c>
      <c r="AM26" s="14">
        <v>0</v>
      </c>
      <c r="AN26" s="41">
        <v>80</v>
      </c>
      <c r="AO26" s="34">
        <f t="shared" si="2"/>
        <v>58.375</v>
      </c>
      <c r="AP26" s="47"/>
    </row>
    <row r="27" spans="1:42" ht="13.5" customHeight="1" x14ac:dyDescent="0.25">
      <c r="A27" s="17">
        <v>16</v>
      </c>
      <c r="B27" s="9" t="s">
        <v>242</v>
      </c>
      <c r="C27" s="9" t="s">
        <v>159</v>
      </c>
      <c r="D27" s="19" t="s">
        <v>160</v>
      </c>
      <c r="E27" s="20" t="s">
        <v>16</v>
      </c>
      <c r="F27" s="18">
        <v>100</v>
      </c>
      <c r="G27" s="9">
        <v>100</v>
      </c>
      <c r="H27" s="9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>
        <f t="shared" si="0"/>
        <v>66.666666666666671</v>
      </c>
      <c r="V27" s="13">
        <v>90</v>
      </c>
      <c r="W27" s="9">
        <v>90</v>
      </c>
      <c r="X27" s="14">
        <v>90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>
        <f t="shared" si="1"/>
        <v>90</v>
      </c>
      <c r="AL27" s="9">
        <v>95</v>
      </c>
      <c r="AM27" s="14">
        <v>0</v>
      </c>
      <c r="AN27" s="41">
        <v>80</v>
      </c>
      <c r="AO27" s="34">
        <f t="shared" si="2"/>
        <v>53.75</v>
      </c>
      <c r="AP27" s="47"/>
    </row>
    <row r="28" spans="1:42" ht="13.5" customHeight="1" x14ac:dyDescent="0.25">
      <c r="A28" s="17">
        <v>17</v>
      </c>
      <c r="B28" s="9" t="s">
        <v>243</v>
      </c>
      <c r="C28" s="9" t="s">
        <v>161</v>
      </c>
      <c r="D28" s="19" t="s">
        <v>162</v>
      </c>
      <c r="E28" s="20" t="s">
        <v>16</v>
      </c>
      <c r="F28" s="18">
        <v>100</v>
      </c>
      <c r="G28" s="9">
        <v>90</v>
      </c>
      <c r="H28" s="9">
        <v>100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>
        <f t="shared" si="0"/>
        <v>96.666666666666671</v>
      </c>
      <c r="V28" s="13">
        <v>90</v>
      </c>
      <c r="W28" s="9">
        <v>90</v>
      </c>
      <c r="X28" s="14">
        <v>90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>
        <f t="shared" si="1"/>
        <v>90</v>
      </c>
      <c r="AL28" s="9">
        <v>92.5</v>
      </c>
      <c r="AM28" s="14">
        <v>0</v>
      </c>
      <c r="AN28" s="41">
        <v>80</v>
      </c>
      <c r="AO28" s="34">
        <f t="shared" si="2"/>
        <v>57.875</v>
      </c>
    </row>
    <row r="29" spans="1:42" ht="13.5" customHeight="1" x14ac:dyDescent="0.25">
      <c r="A29" s="17">
        <v>18</v>
      </c>
      <c r="B29" s="9" t="s">
        <v>244</v>
      </c>
      <c r="C29" s="9" t="s">
        <v>163</v>
      </c>
      <c r="D29" s="19" t="s">
        <v>164</v>
      </c>
      <c r="E29" s="20" t="s">
        <v>16</v>
      </c>
      <c r="F29" s="18">
        <v>100</v>
      </c>
      <c r="G29" s="9">
        <v>100</v>
      </c>
      <c r="H29" s="9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>
        <f t="shared" si="0"/>
        <v>66.666666666666671</v>
      </c>
      <c r="V29" s="13">
        <v>90</v>
      </c>
      <c r="W29" s="9">
        <v>90</v>
      </c>
      <c r="X29" s="14">
        <v>90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>
        <f t="shared" si="1"/>
        <v>90</v>
      </c>
      <c r="AL29" s="9">
        <v>95</v>
      </c>
      <c r="AM29" s="14">
        <v>0</v>
      </c>
      <c r="AN29" s="41">
        <v>80</v>
      </c>
      <c r="AO29" s="34">
        <f t="shared" si="2"/>
        <v>53.75</v>
      </c>
    </row>
    <row r="30" spans="1:42" ht="13.5" customHeight="1" x14ac:dyDescent="0.25">
      <c r="A30" s="17">
        <v>19</v>
      </c>
      <c r="B30" s="9" t="s">
        <v>245</v>
      </c>
      <c r="C30" s="9" t="s">
        <v>165</v>
      </c>
      <c r="D30" s="19" t="s">
        <v>166</v>
      </c>
      <c r="E30" s="20" t="s">
        <v>16</v>
      </c>
      <c r="F30" s="18">
        <v>100</v>
      </c>
      <c r="G30" s="9">
        <v>100</v>
      </c>
      <c r="H30" s="9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>
        <f t="shared" si="0"/>
        <v>66.666666666666671</v>
      </c>
      <c r="V30" s="13">
        <v>90</v>
      </c>
      <c r="W30" s="9">
        <v>90</v>
      </c>
      <c r="X30" s="14">
        <v>90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>
        <f t="shared" si="1"/>
        <v>90</v>
      </c>
      <c r="AL30" s="9">
        <v>92.5</v>
      </c>
      <c r="AM30" s="14">
        <v>0</v>
      </c>
      <c r="AN30" s="41">
        <v>80</v>
      </c>
      <c r="AO30" s="34">
        <f t="shared" si="2"/>
        <v>53.375</v>
      </c>
      <c r="AP30" s="47"/>
    </row>
    <row r="31" spans="1:42" ht="13.5" customHeight="1" x14ac:dyDescent="0.25">
      <c r="A31" s="17">
        <v>20</v>
      </c>
      <c r="B31" s="9" t="s">
        <v>246</v>
      </c>
      <c r="C31" s="9" t="s">
        <v>167</v>
      </c>
      <c r="D31" s="19" t="s">
        <v>168</v>
      </c>
      <c r="E31" s="20" t="s">
        <v>16</v>
      </c>
      <c r="F31" s="18">
        <v>100</v>
      </c>
      <c r="G31" s="9">
        <v>100</v>
      </c>
      <c r="H31" s="9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>
        <f t="shared" si="0"/>
        <v>66.666666666666671</v>
      </c>
      <c r="V31" s="13">
        <v>90</v>
      </c>
      <c r="W31" s="9">
        <v>90</v>
      </c>
      <c r="X31" s="14">
        <v>90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>
        <f t="shared" si="1"/>
        <v>90</v>
      </c>
      <c r="AL31" s="9">
        <v>95</v>
      </c>
      <c r="AM31" s="14">
        <v>0</v>
      </c>
      <c r="AN31" s="41">
        <v>80</v>
      </c>
      <c r="AO31" s="34">
        <f t="shared" si="2"/>
        <v>53.75</v>
      </c>
    </row>
    <row r="32" spans="1:42" ht="13.5" customHeight="1" x14ac:dyDescent="0.25">
      <c r="A32" s="17">
        <v>21</v>
      </c>
      <c r="B32" s="9" t="s">
        <v>247</v>
      </c>
      <c r="C32" s="9" t="s">
        <v>169</v>
      </c>
      <c r="D32" s="19" t="s">
        <v>170</v>
      </c>
      <c r="E32" s="20" t="s">
        <v>16</v>
      </c>
      <c r="F32" s="18">
        <v>100</v>
      </c>
      <c r="G32" s="9">
        <v>100</v>
      </c>
      <c r="H32" s="9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>
        <f t="shared" si="0"/>
        <v>66.666666666666671</v>
      </c>
      <c r="V32" s="13">
        <v>90</v>
      </c>
      <c r="W32" s="9">
        <v>90</v>
      </c>
      <c r="X32" s="14">
        <v>90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>
        <f t="shared" si="1"/>
        <v>90</v>
      </c>
      <c r="AL32" s="9">
        <v>95</v>
      </c>
      <c r="AM32" s="14">
        <v>0</v>
      </c>
      <c r="AN32" s="41">
        <v>80</v>
      </c>
      <c r="AO32" s="34">
        <f t="shared" si="2"/>
        <v>53.75</v>
      </c>
    </row>
    <row r="33" spans="1:42" ht="13.5" customHeight="1" x14ac:dyDescent="0.25">
      <c r="A33" s="17">
        <v>22</v>
      </c>
      <c r="B33" s="9" t="s">
        <v>248</v>
      </c>
      <c r="C33" s="9" t="s">
        <v>171</v>
      </c>
      <c r="D33" s="19" t="s">
        <v>172</v>
      </c>
      <c r="E33" s="20" t="s">
        <v>16</v>
      </c>
      <c r="F33" s="18">
        <v>100</v>
      </c>
      <c r="G33" s="9">
        <v>100</v>
      </c>
      <c r="H33" s="9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>
        <f t="shared" si="0"/>
        <v>66.666666666666671</v>
      </c>
      <c r="V33" s="13">
        <v>90</v>
      </c>
      <c r="W33" s="9">
        <v>90</v>
      </c>
      <c r="X33" s="14">
        <v>90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>
        <f t="shared" si="1"/>
        <v>90</v>
      </c>
      <c r="AL33" s="9">
        <v>92.5</v>
      </c>
      <c r="AM33" s="14">
        <v>0</v>
      </c>
      <c r="AN33" s="41">
        <v>80</v>
      </c>
      <c r="AO33" s="34">
        <f t="shared" si="2"/>
        <v>53.375</v>
      </c>
      <c r="AP33" s="47"/>
    </row>
    <row r="34" spans="1:42" ht="13.5" customHeight="1" x14ac:dyDescent="0.25">
      <c r="A34" s="17">
        <v>23</v>
      </c>
      <c r="B34" s="9" t="s">
        <v>249</v>
      </c>
      <c r="C34" s="9" t="s">
        <v>173</v>
      </c>
      <c r="D34" s="19" t="s">
        <v>174</v>
      </c>
      <c r="E34" s="20" t="s">
        <v>16</v>
      </c>
      <c r="F34" s="18">
        <v>100</v>
      </c>
      <c r="G34" s="9">
        <v>100</v>
      </c>
      <c r="H34" s="9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>
        <f t="shared" si="0"/>
        <v>66.666666666666671</v>
      </c>
      <c r="V34" s="13">
        <v>90</v>
      </c>
      <c r="W34" s="9">
        <v>90</v>
      </c>
      <c r="X34" s="14">
        <v>90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>
        <f t="shared" si="1"/>
        <v>90</v>
      </c>
      <c r="AL34" s="9">
        <v>95</v>
      </c>
      <c r="AM34" s="14">
        <v>0</v>
      </c>
      <c r="AN34" s="41">
        <v>80</v>
      </c>
      <c r="AO34" s="34">
        <f t="shared" si="2"/>
        <v>53.75</v>
      </c>
      <c r="AP34" s="47"/>
    </row>
    <row r="35" spans="1:42" ht="13.5" customHeight="1" x14ac:dyDescent="0.25">
      <c r="A35" s="17">
        <v>24</v>
      </c>
      <c r="B35" s="9"/>
      <c r="C35" s="9" t="s">
        <v>473</v>
      </c>
      <c r="D35" s="19" t="s">
        <v>472</v>
      </c>
      <c r="E35" s="20" t="s">
        <v>16</v>
      </c>
      <c r="F35" s="18">
        <v>100</v>
      </c>
      <c r="G35" s="9">
        <v>100</v>
      </c>
      <c r="H35" s="9">
        <v>100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>
        <f t="shared" si="0"/>
        <v>100</v>
      </c>
      <c r="V35" s="13">
        <v>90</v>
      </c>
      <c r="W35" s="9">
        <v>90</v>
      </c>
      <c r="X35" s="14">
        <v>90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>
        <f t="shared" si="1"/>
        <v>90</v>
      </c>
      <c r="AL35" s="9">
        <v>95</v>
      </c>
      <c r="AM35" s="14">
        <v>0</v>
      </c>
      <c r="AN35" s="41">
        <v>80</v>
      </c>
      <c r="AO35" s="34">
        <f t="shared" si="2"/>
        <v>58.75</v>
      </c>
      <c r="AP35" s="47"/>
    </row>
    <row r="36" spans="1:42" ht="13.5" customHeight="1" x14ac:dyDescent="0.25">
      <c r="A36" s="17">
        <v>25</v>
      </c>
      <c r="B36" s="9" t="s">
        <v>250</v>
      </c>
      <c r="C36" s="9" t="s">
        <v>175</v>
      </c>
      <c r="D36" s="19" t="s">
        <v>176</v>
      </c>
      <c r="E36" s="20" t="s">
        <v>16</v>
      </c>
      <c r="F36" s="18">
        <v>100</v>
      </c>
      <c r="G36" s="9">
        <v>90</v>
      </c>
      <c r="H36" s="9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>
        <f t="shared" si="0"/>
        <v>63.333333333333336</v>
      </c>
      <c r="V36" s="13">
        <v>90</v>
      </c>
      <c r="W36" s="9">
        <v>90</v>
      </c>
      <c r="X36" s="14">
        <v>90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>
        <f t="shared" si="1"/>
        <v>90</v>
      </c>
      <c r="AL36" s="9">
        <v>95</v>
      </c>
      <c r="AM36" s="14">
        <v>0</v>
      </c>
      <c r="AN36" s="41">
        <v>80</v>
      </c>
      <c r="AO36" s="34">
        <f t="shared" si="2"/>
        <v>53.25</v>
      </c>
      <c r="AP36" s="47"/>
    </row>
    <row r="37" spans="1:42" ht="13.5" customHeight="1" x14ac:dyDescent="0.25">
      <c r="A37" s="17">
        <v>26</v>
      </c>
      <c r="B37" s="9" t="s">
        <v>251</v>
      </c>
      <c r="C37" s="9" t="s">
        <v>177</v>
      </c>
      <c r="D37" s="19" t="s">
        <v>178</v>
      </c>
      <c r="E37" s="20" t="s">
        <v>16</v>
      </c>
      <c r="F37" s="18">
        <v>100</v>
      </c>
      <c r="G37" s="9">
        <v>100</v>
      </c>
      <c r="H37" s="9">
        <v>100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>
        <f t="shared" si="0"/>
        <v>100</v>
      </c>
      <c r="V37" s="13">
        <v>90</v>
      </c>
      <c r="W37" s="9">
        <v>90</v>
      </c>
      <c r="X37" s="14">
        <v>90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>
        <f t="shared" si="1"/>
        <v>90</v>
      </c>
      <c r="AL37" s="9">
        <v>95</v>
      </c>
      <c r="AM37" s="14">
        <v>0</v>
      </c>
      <c r="AN37" s="41">
        <v>80</v>
      </c>
      <c r="AO37" s="34">
        <f t="shared" si="2"/>
        <v>58.75</v>
      </c>
      <c r="AP37" s="47"/>
    </row>
    <row r="38" spans="1:42" ht="13.5" customHeight="1" x14ac:dyDescent="0.25">
      <c r="A38" s="17">
        <v>27</v>
      </c>
      <c r="B38" s="9" t="s">
        <v>252</v>
      </c>
      <c r="C38" s="9" t="s">
        <v>179</v>
      </c>
      <c r="D38" s="19" t="s">
        <v>180</v>
      </c>
      <c r="E38" s="20" t="s">
        <v>16</v>
      </c>
      <c r="F38" s="18">
        <v>100</v>
      </c>
      <c r="G38" s="9">
        <v>100</v>
      </c>
      <c r="H38" s="9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>
        <f t="shared" si="0"/>
        <v>66.666666666666671</v>
      </c>
      <c r="V38" s="13">
        <v>90</v>
      </c>
      <c r="W38" s="9">
        <v>90</v>
      </c>
      <c r="X38" s="14">
        <v>90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>
        <f t="shared" si="1"/>
        <v>90</v>
      </c>
      <c r="AL38" s="9">
        <v>95</v>
      </c>
      <c r="AM38" s="14">
        <v>0</v>
      </c>
      <c r="AN38" s="41">
        <v>80</v>
      </c>
      <c r="AO38" s="34">
        <f t="shared" si="2"/>
        <v>53.75</v>
      </c>
      <c r="AP38" s="47"/>
    </row>
    <row r="39" spans="1:42" ht="13.5" customHeight="1" x14ac:dyDescent="0.25">
      <c r="A39" s="17">
        <v>28</v>
      </c>
      <c r="B39" s="9" t="s">
        <v>253</v>
      </c>
      <c r="C39" s="9" t="s">
        <v>181</v>
      </c>
      <c r="D39" s="19" t="s">
        <v>182</v>
      </c>
      <c r="E39" s="20" t="s">
        <v>16</v>
      </c>
      <c r="F39" s="18">
        <v>100</v>
      </c>
      <c r="G39" s="9">
        <v>100</v>
      </c>
      <c r="H39" s="9"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>
        <f t="shared" si="0"/>
        <v>66.666666666666671</v>
      </c>
      <c r="V39" s="13">
        <v>90</v>
      </c>
      <c r="W39" s="9">
        <v>90</v>
      </c>
      <c r="X39" s="14">
        <v>90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>
        <f t="shared" si="1"/>
        <v>90</v>
      </c>
      <c r="AL39" s="9">
        <v>92.5</v>
      </c>
      <c r="AM39" s="14">
        <v>0</v>
      </c>
      <c r="AN39" s="41">
        <v>80</v>
      </c>
      <c r="AO39" s="34">
        <f t="shared" si="2"/>
        <v>53.375</v>
      </c>
      <c r="AP39" s="47"/>
    </row>
    <row r="40" spans="1:42" ht="13.5" customHeight="1" x14ac:dyDescent="0.25">
      <c r="A40" s="17">
        <v>29</v>
      </c>
      <c r="B40" s="9" t="s">
        <v>254</v>
      </c>
      <c r="C40" s="9" t="s">
        <v>183</v>
      </c>
      <c r="D40" s="19" t="s">
        <v>184</v>
      </c>
      <c r="E40" s="20" t="s">
        <v>16</v>
      </c>
      <c r="F40" s="18">
        <v>100</v>
      </c>
      <c r="G40" s="9">
        <v>100</v>
      </c>
      <c r="H40" s="9">
        <v>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>
        <f t="shared" si="0"/>
        <v>66.666666666666671</v>
      </c>
      <c r="V40" s="13">
        <v>90</v>
      </c>
      <c r="W40" s="9">
        <v>90</v>
      </c>
      <c r="X40" s="14">
        <v>90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>
        <f t="shared" si="1"/>
        <v>90</v>
      </c>
      <c r="AL40" s="9">
        <v>92.5</v>
      </c>
      <c r="AM40" s="14">
        <v>0</v>
      </c>
      <c r="AN40" s="41">
        <v>80</v>
      </c>
      <c r="AO40" s="34">
        <f t="shared" si="2"/>
        <v>53.375</v>
      </c>
      <c r="AP40" s="47"/>
    </row>
    <row r="41" spans="1:42" ht="13.5" customHeight="1" x14ac:dyDescent="0.25">
      <c r="A41" s="17">
        <v>30</v>
      </c>
      <c r="B41" s="9" t="s">
        <v>255</v>
      </c>
      <c r="C41" s="9" t="s">
        <v>185</v>
      </c>
      <c r="D41" s="19" t="s">
        <v>186</v>
      </c>
      <c r="E41" s="20" t="s">
        <v>16</v>
      </c>
      <c r="F41" s="18">
        <v>100</v>
      </c>
      <c r="G41" s="9">
        <v>100</v>
      </c>
      <c r="H41" s="9">
        <v>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>
        <f t="shared" si="0"/>
        <v>66.666666666666671</v>
      </c>
      <c r="V41" s="13">
        <v>90</v>
      </c>
      <c r="W41" s="9">
        <v>90</v>
      </c>
      <c r="X41" s="14">
        <v>90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>
        <f t="shared" si="1"/>
        <v>90</v>
      </c>
      <c r="AL41" s="9">
        <v>95</v>
      </c>
      <c r="AM41" s="14">
        <v>0</v>
      </c>
      <c r="AN41" s="41">
        <v>80</v>
      </c>
      <c r="AO41" s="34">
        <f t="shared" si="2"/>
        <v>53.75</v>
      </c>
      <c r="AP41" s="47"/>
    </row>
    <row r="42" spans="1:42" ht="13.5" customHeight="1" x14ac:dyDescent="0.25">
      <c r="A42" s="17">
        <v>31</v>
      </c>
      <c r="B42" s="9" t="s">
        <v>256</v>
      </c>
      <c r="C42" s="9" t="s">
        <v>187</v>
      </c>
      <c r="D42" s="27" t="s">
        <v>188</v>
      </c>
      <c r="E42" s="20" t="s">
        <v>16</v>
      </c>
      <c r="F42" s="18">
        <v>100</v>
      </c>
      <c r="G42" s="9">
        <v>100</v>
      </c>
      <c r="H42" s="9">
        <v>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>
        <f t="shared" si="0"/>
        <v>66.666666666666671</v>
      </c>
      <c r="V42" s="13">
        <v>90</v>
      </c>
      <c r="W42" s="9">
        <v>90</v>
      </c>
      <c r="X42" s="14">
        <v>90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>
        <f t="shared" si="1"/>
        <v>90</v>
      </c>
      <c r="AL42" s="9">
        <v>92.5</v>
      </c>
      <c r="AM42" s="14">
        <v>0</v>
      </c>
      <c r="AN42" s="41">
        <v>80</v>
      </c>
      <c r="AO42" s="34">
        <f t="shared" si="2"/>
        <v>53.375</v>
      </c>
    </row>
    <row r="43" spans="1:42" ht="13.5" customHeight="1" x14ac:dyDescent="0.25">
      <c r="A43" s="17">
        <v>32</v>
      </c>
      <c r="B43" s="9" t="s">
        <v>257</v>
      </c>
      <c r="C43" s="9" t="s">
        <v>189</v>
      </c>
      <c r="D43" s="19" t="s">
        <v>190</v>
      </c>
      <c r="E43" s="20" t="s">
        <v>16</v>
      </c>
      <c r="F43" s="18">
        <v>100</v>
      </c>
      <c r="G43" s="9">
        <v>100</v>
      </c>
      <c r="H43" s="9">
        <v>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>
        <f t="shared" si="0"/>
        <v>66.666666666666671</v>
      </c>
      <c r="V43" s="13">
        <v>90</v>
      </c>
      <c r="W43" s="9">
        <v>90</v>
      </c>
      <c r="X43" s="14">
        <v>90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>
        <f t="shared" si="1"/>
        <v>90</v>
      </c>
      <c r="AL43" s="9">
        <v>95</v>
      </c>
      <c r="AM43" s="14">
        <v>0</v>
      </c>
      <c r="AN43" s="41">
        <v>80</v>
      </c>
      <c r="AO43" s="34">
        <f t="shared" si="2"/>
        <v>53.75</v>
      </c>
      <c r="AP43" s="47"/>
    </row>
    <row r="44" spans="1:42" ht="13.5" customHeight="1" x14ac:dyDescent="0.25">
      <c r="A44" s="17">
        <v>33</v>
      </c>
      <c r="B44" s="9"/>
      <c r="C44" s="9"/>
      <c r="D44" s="27"/>
      <c r="E44" s="20"/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3"/>
      <c r="W44" s="9"/>
      <c r="X44" s="14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14"/>
      <c r="AN44" s="41"/>
      <c r="AO44" s="34"/>
      <c r="AP44" s="47"/>
    </row>
    <row r="45" spans="1:42" ht="13.5" customHeight="1" x14ac:dyDescent="0.25">
      <c r="A45" s="17">
        <v>34</v>
      </c>
      <c r="B45" s="18"/>
      <c r="C45" s="9"/>
      <c r="D45" s="19"/>
      <c r="E45" s="20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3.5" customHeight="1" x14ac:dyDescent="0.25">
      <c r="A46" s="17">
        <v>35</v>
      </c>
      <c r="B46" s="18"/>
      <c r="C46" s="9"/>
      <c r="D46" s="19"/>
      <c r="E46" s="20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3.5" customHeight="1" thickBot="1" x14ac:dyDescent="0.3">
      <c r="A47" s="17">
        <v>36</v>
      </c>
      <c r="B47" s="22"/>
      <c r="C47" s="23"/>
      <c r="D47" s="24"/>
      <c r="E47" s="25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46"/>
      <c r="V47" s="22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42"/>
      <c r="AO47" s="35"/>
    </row>
    <row r="48" spans="1:42" ht="15.75" x14ac:dyDescent="0.25">
      <c r="A48" s="26"/>
      <c r="AO48" s="1"/>
    </row>
    <row r="49" spans="1:43" s="1" customFormat="1" ht="15.75" x14ac:dyDescent="0.25">
      <c r="A49" s="3"/>
      <c r="C49" s="3" t="s">
        <v>4</v>
      </c>
      <c r="D49" s="3"/>
      <c r="E49" s="3"/>
      <c r="M49" s="3"/>
      <c r="O49" s="5"/>
      <c r="P49" s="5"/>
      <c r="Q49" s="5"/>
      <c r="R49" s="5"/>
      <c r="S49" s="5"/>
      <c r="T49" s="5"/>
      <c r="U49" s="5"/>
      <c r="V49" s="3"/>
      <c r="W49" s="3"/>
      <c r="X49" s="3"/>
      <c r="Y49" s="3"/>
      <c r="Z49" s="3"/>
      <c r="AA49" s="3"/>
      <c r="AB49" s="3"/>
      <c r="AD49" s="5"/>
      <c r="AE49" s="5"/>
      <c r="AF49" s="5"/>
      <c r="AG49" s="5"/>
      <c r="AH49" s="5"/>
      <c r="AI49" s="5" t="s">
        <v>10</v>
      </c>
      <c r="AK49" s="5" t="s">
        <v>10</v>
      </c>
      <c r="AP49" s="3"/>
      <c r="AQ49" s="3"/>
    </row>
    <row r="50" spans="1:43" s="1" customFormat="1" ht="15.75" x14ac:dyDescent="0.25">
      <c r="A50" s="3"/>
      <c r="C50" s="3" t="s">
        <v>7</v>
      </c>
      <c r="D50" s="3"/>
      <c r="E50" s="3"/>
      <c r="M50" s="3"/>
      <c r="O50" s="6"/>
      <c r="P50" s="6"/>
      <c r="Q50" s="6"/>
      <c r="R50" s="6"/>
      <c r="S50" s="6"/>
      <c r="T50" s="6"/>
      <c r="U50" s="6"/>
      <c r="V50" s="3"/>
      <c r="W50" s="3"/>
      <c r="X50" s="3"/>
      <c r="Y50" s="3"/>
      <c r="Z50" s="3"/>
      <c r="AA50" s="3"/>
      <c r="AB50" s="3"/>
      <c r="AD50" s="6"/>
      <c r="AE50" s="6"/>
      <c r="AF50" s="6"/>
      <c r="AG50" s="6"/>
      <c r="AH50" s="6"/>
      <c r="AI50" s="6" t="s">
        <v>11</v>
      </c>
      <c r="AK50" s="6" t="s">
        <v>11</v>
      </c>
      <c r="AP50" s="3"/>
      <c r="AQ50" s="3"/>
    </row>
    <row r="51" spans="1:43" s="1" customFormat="1" ht="15.75" x14ac:dyDescent="0.25">
      <c r="A51" s="3"/>
      <c r="C51" s="3"/>
      <c r="D51" s="3"/>
      <c r="E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P51" s="3"/>
      <c r="AQ51" s="3"/>
    </row>
    <row r="52" spans="1:43" s="1" customFormat="1" ht="15.75" x14ac:dyDescent="0.25">
      <c r="A52" s="3"/>
      <c r="C52" s="3"/>
      <c r="D52" s="3"/>
      <c r="E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P52" s="3"/>
      <c r="AQ52" s="3"/>
    </row>
    <row r="53" spans="1:43" s="1" customFormat="1" ht="15.75" x14ac:dyDescent="0.25">
      <c r="A53" s="3"/>
      <c r="C53" s="3"/>
      <c r="D53" s="3"/>
      <c r="E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P53" s="3"/>
      <c r="AQ53" s="3"/>
    </row>
    <row r="54" spans="1:43" s="1" customFormat="1" ht="15.75" x14ac:dyDescent="0.25">
      <c r="A54" s="3"/>
      <c r="C54" s="4" t="s">
        <v>8</v>
      </c>
      <c r="D54" s="3"/>
      <c r="E54" s="3"/>
      <c r="M54" s="3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  <c r="Z54" s="3"/>
      <c r="AA54" s="3"/>
      <c r="AB54" s="3"/>
      <c r="AD54" s="7"/>
      <c r="AE54" s="7"/>
      <c r="AF54" s="7"/>
      <c r="AG54" s="7"/>
      <c r="AH54" s="7"/>
      <c r="AI54" s="7" t="s">
        <v>12</v>
      </c>
      <c r="AK54" s="7" t="s">
        <v>12</v>
      </c>
      <c r="AP54" s="3"/>
      <c r="AQ54" s="3"/>
    </row>
    <row r="55" spans="1:43" s="26" customFormat="1" ht="15.75" x14ac:dyDescent="0.25">
      <c r="B55" s="8"/>
      <c r="C55" s="8"/>
      <c r="D55" s="8"/>
      <c r="E55" s="8"/>
      <c r="F55" s="7"/>
      <c r="G55" s="1"/>
      <c r="H55" s="1"/>
      <c r="I55" s="1"/>
      <c r="J55" s="1"/>
      <c r="K55" s="3"/>
      <c r="L55" s="3"/>
    </row>
  </sheetData>
  <mergeCells count="11">
    <mergeCell ref="F9:T9"/>
    <mergeCell ref="V9:AJ9"/>
    <mergeCell ref="AO9:AO11"/>
    <mergeCell ref="A1:AO1"/>
    <mergeCell ref="A2:AO2"/>
    <mergeCell ref="A3:AO3"/>
    <mergeCell ref="A9:A11"/>
    <mergeCell ref="C9:C11"/>
    <mergeCell ref="B9:B11"/>
    <mergeCell ref="D9:D11"/>
    <mergeCell ref="E9:E11"/>
  </mergeCells>
  <phoneticPr fontId="12" type="noConversion"/>
  <printOptions horizontalCentered="1"/>
  <pageMargins left="0.12" right="0.23622047244094491" top="0.13" bottom="0.12" header="0.12" footer="0.12"/>
  <pageSetup paperSize="10000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VII A</vt:lpstr>
      <vt:lpstr>VII B</vt:lpstr>
      <vt:lpstr>VIII A</vt:lpstr>
      <vt:lpstr>VIII B</vt:lpstr>
      <vt:lpstr>IX A</vt:lpstr>
      <vt:lpstr>IX B</vt:lpstr>
      <vt:lpstr>'IX A'!Print_Area</vt:lpstr>
      <vt:lpstr>'IX B'!Print_Area</vt:lpstr>
      <vt:lpstr>'VII A'!Print_Area</vt:lpstr>
      <vt:lpstr>'VII B'!Print_Area</vt:lpstr>
      <vt:lpstr>'VIII A'!Print_Area</vt:lpstr>
      <vt:lpstr>'VIII 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Galuh Putra Prasadha</cp:lastModifiedBy>
  <cp:lastPrinted>2024-06-28T02:50:59Z</cp:lastPrinted>
  <dcterms:created xsi:type="dcterms:W3CDTF">2021-07-14T02:08:20Z</dcterms:created>
  <dcterms:modified xsi:type="dcterms:W3CDTF">2025-11-10T03:33:34Z</dcterms:modified>
</cp:coreProperties>
</file>